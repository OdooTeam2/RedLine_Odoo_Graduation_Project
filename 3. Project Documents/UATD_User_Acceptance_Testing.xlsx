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st Cases" sheetId="2" state="visible" r:id="rId4"/>
    <sheet name="Summary" sheetId="3" state="visible" r:id="rId5"/>
    <sheet name="Defect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<sst xmlns="http://schemas.openxmlformats.org/spreadsheetml/2006/main" count="1067" uniqueCount="659">
  <si>
    <t xml:space="preserve">RedLine Medical — User Acceptance Testing (UATD)</t>
  </si>
  <si>
    <t xml:space="preserve">Project</t>
  </si>
  <si>
    <t xml:space="preserve">RedLine Medical Supplies &amp; Equipment Trading — Odoo ERP Graduation Project</t>
  </si>
  <si>
    <t xml:space="preserve">Version / date</t>
  </si>
  <si>
    <t xml:space="preserve">1.0 — 2026-10-25</t>
  </si>
  <si>
    <t xml:space="preserve">Target Odoo version</t>
  </si>
  <si>
    <t xml:space="preserve">Odoo 19.0 (Enterprise edition assumed)</t>
  </si>
  <si>
    <t xml:space="preserve">Business period used for test data</t>
  </si>
  <si>
    <t xml:space="preserve">1 May 2026 – 30 September 2026</t>
  </si>
  <si>
    <t xml:space="preserve">IMPORTANT</t>
  </si>
  <si>
    <t xml:space="preserve">No test was executed on a live Odoo server. 'Passed (simulated review)' means the expected behaviour was reviewed against the documented scenario and the simulated data (reconciliations in the three data workbooks). Tests depending on Enterprise/optional apps, proposed customizations, security or performance are 'Not Executed - requires live Odoo verification'.</t>
  </si>
  <si>
    <t xml:space="preserve">Evidence</t>
  </si>
  <si>
    <t xml:space="preserve">Evidence references are simulated cross-references to the data workbooks, not screenshots or logs from Odoo.</t>
  </si>
  <si>
    <t xml:space="preserve">Execution / Review Date</t>
  </si>
  <si>
    <t xml:space="preserve">Date the simulated review was recorded; blank when not executed.</t>
  </si>
  <si>
    <t xml:space="preserve">Defects</t>
  </si>
  <si>
    <t xml:space="preserve">No defects were logged because no live execution occurred. The Defect Log sheet is ready for use during real UAT.</t>
  </si>
  <si>
    <t xml:space="preserve">Formulas</t>
  </si>
  <si>
    <t xml:space="preserve">The Summary sheet counts results with COUNTIF/COUNTIFS.</t>
  </si>
  <si>
    <t xml:space="preserve">Test Case ID</t>
  </si>
  <si>
    <t xml:space="preserve">Requirement ID</t>
  </si>
  <si>
    <t xml:space="preserve">Module</t>
  </si>
  <si>
    <t xml:space="preserve">Scenario</t>
  </si>
  <si>
    <t xml:space="preserve">Preconditions</t>
  </si>
  <si>
    <t xml:space="preserve">Test Data</t>
  </si>
  <si>
    <t xml:space="preserve">Execution Steps</t>
  </si>
  <si>
    <t xml:space="preserve">Expected Result</t>
  </si>
  <si>
    <t xml:space="preserve">Recorded Result</t>
  </si>
  <si>
    <t xml:space="preserve">Pass/Fail Status</t>
  </si>
  <si>
    <t xml:space="preserve">Tester</t>
  </si>
  <si>
    <t xml:space="preserve">Evidence Reference</t>
  </si>
  <si>
    <t xml:space="preserve">Defect ID</t>
  </si>
  <si>
    <t xml:space="preserve">TC-001</t>
  </si>
  <si>
    <t xml:space="preserve">CON-001</t>
  </si>
  <si>
    <t xml:space="preserve">Contacts</t>
  </si>
  <si>
    <t xml:space="preserve">Create a hospital customer with bilingual name and credit terms</t>
  </si>
  <si>
    <t xml:space="preserve">User with Sales role; contact classification tags configured</t>
  </si>
  <si>
    <t xml:space="preserve">CUS-001 Al Salam Teaching Hospital / مستشفى السلام التعليمي; terms 30 days; limit EGP 1,000,000</t>
  </si>
  <si>
    <t xml:space="preserve">1. Contacts &gt; New. 2. Enter English and Arabic names. 3. Set Payment Terms 30 Days and credit limit. 4. Save and open a new quotation for the customer.</t>
  </si>
  <si>
    <t xml:space="preserve">Record saved; payment term and credit limit visible; customer selectable on quotation.</t>
  </si>
  <si>
    <t xml:space="preserve">Expected behaviour reviewed against the documented scenario and the simulated data; no live Odoo execution.</t>
  </si>
  <si>
    <t xml:space="preserve">Passed (simulated review)</t>
  </si>
  <si>
    <t xml:space="preserve">Mohamed Essam El-Din Youssef</t>
  </si>
  <si>
    <t xml:space="preserve">SIM-EVD-001 (simulated data cross-reference)</t>
  </si>
  <si>
    <t xml:space="preserve">None</t>
  </si>
  <si>
    <t xml:space="preserve">TC-002</t>
  </si>
  <si>
    <t xml:space="preserve">CON-002</t>
  </si>
  <si>
    <t xml:space="preserve">Create manufacturer vendor with payment terms</t>
  </si>
  <si>
    <t xml:space="preserve">User with Purchase role</t>
  </si>
  <si>
    <t xml:space="preserve">VEN-001 Helios Medical Systems GmbH (illustrative); terms 60 days; bank CIB</t>
  </si>
  <si>
    <t xml:space="preserve">1. Contacts &gt; New. 2. Mark as vendor. 3. Set payment term 60 days. 4. Create an RFQ for the vendor.</t>
  </si>
  <si>
    <t xml:space="preserve">Vendor saved; RFQ shows vendor and 60-day term.</t>
  </si>
  <si>
    <t xml:space="preserve">SIM-EVD-002 (simulated data cross-reference)</t>
  </si>
  <si>
    <t xml:space="preserve">TC-003</t>
  </si>
  <si>
    <t xml:space="preserve">CON-003</t>
  </si>
  <si>
    <t xml:space="preserve">Duplicate tax-ID warning</t>
  </si>
  <si>
    <t xml:space="preserve">Tax ID uniqueness check enabled</t>
  </si>
  <si>
    <t xml:space="preserve">Create partner with tax ID TAXID-PLACEHOLDER-001 twice</t>
  </si>
  <si>
    <t xml:space="preserve">1. Create partner with tax ID. 2. Create second partner with the same tax ID.</t>
  </si>
  <si>
    <t xml:space="preserve">Second record raises duplicate warning or is blocked.</t>
  </si>
  <si>
    <t xml:space="preserve">Not run. Behaviour depends on standard (configuration) / further technical verification; planned for the pilot environment.</t>
  </si>
  <si>
    <t xml:space="preserve">Not Executed - requires live Odoo verification</t>
  </si>
  <si>
    <t xml:space="preserve">Mohamed Essam El-Din Youssef (planned)</t>
  </si>
  <si>
    <t xml:space="preserve">None (no live execution)</t>
  </si>
  <si>
    <t xml:space="preserve">TC-004</t>
  </si>
  <si>
    <t xml:space="preserve">CON-004</t>
  </si>
  <si>
    <t xml:space="preserve">Credit-limit breach on sales confirmation</t>
  </si>
  <si>
    <t xml:space="preserve">Customer credit limit set; open receivables exist</t>
  </si>
  <si>
    <t xml:space="preserve">CUS-002 limit EGP 2,000,000; confirm an order that pushes exposure above the limit</t>
  </si>
  <si>
    <t xml:space="preserve">1. Create a quotation above available credit. 2. Confirm.</t>
  </si>
  <si>
    <t xml:space="preserve">Warning displayed on confirmation; hard block requires the proposed customization.</t>
  </si>
  <si>
    <t xml:space="preserve">Not run. Behaviour depends on customization (proposed) / further technical verification; planned for the pilot environment.</t>
  </si>
  <si>
    <t xml:space="preserve">TC-005</t>
  </si>
  <si>
    <t xml:space="preserve">SAL-001</t>
  </si>
  <si>
    <t xml:space="preserve">Sales</t>
  </si>
  <si>
    <t xml:space="preserve">Quotation with contract discount and 14% VAT</t>
  </si>
  <si>
    <t xml:space="preserve">Pricelist with 3% discount for CUS-001</t>
  </si>
  <si>
    <t xml:space="preserve">Product EQ-MON-001 qty 2; list price EGP 54,500</t>
  </si>
  <si>
    <t xml:space="preserve">1. Sales &gt; New quotation for CUS-001. 2. Add product. 3. Check unit price, VAT and print PDF in Arabic.</t>
  </si>
  <si>
    <t xml:space="preserve">Unit price = list price less 3%; VAT 14% added; PDF bilingual.</t>
  </si>
  <si>
    <t xml:space="preserve">SIM-EVD-005 (simulated data cross-reference)</t>
  </si>
  <si>
    <t xml:space="preserve">TC-006</t>
  </si>
  <si>
    <t xml:space="preserve">SAL-002</t>
  </si>
  <si>
    <t xml:space="preserve">Quotation above EGP 500,000 requires approval</t>
  </si>
  <si>
    <t xml:space="preserve">Approval rule configured</t>
  </si>
  <si>
    <t xml:space="preserve">Quotation total EGP 1,250,000 for CUS-002</t>
  </si>
  <si>
    <t xml:space="preserve">1. Create quotation above threshold. 2. Attempt to confirm as sales rep. 3. Approve as Sales Manager.</t>
  </si>
  <si>
    <t xml:space="preserve">Confirmation blocked until approval is granted and logged.</t>
  </si>
  <si>
    <t xml:space="preserve">TC-007</t>
  </si>
  <si>
    <t xml:space="preserve">SAL-003</t>
  </si>
  <si>
    <t xml:space="preserve">Order confirmation generates warehouse delivery</t>
  </si>
  <si>
    <t xml:space="preserve">Stock available in EQP/CON</t>
  </si>
  <si>
    <t xml:space="preserve">SO/2026/0001 (Al Salam Teaching Hospital)</t>
  </si>
  <si>
    <t xml:space="preserve">1. Confirm the sales order. 2. Open generated delivery orders.</t>
  </si>
  <si>
    <t xml:space="preserve">One delivery per source warehouse is created with reserved stock.</t>
  </si>
  <si>
    <t xml:space="preserve">SIM-EVD-007 (simulated data cross-reference)</t>
  </si>
  <si>
    <t xml:space="preserve">TC-008</t>
  </si>
  <si>
    <t xml:space="preserve">SAL-004</t>
  </si>
  <si>
    <t xml:space="preserve">Partial delivery and backorder</t>
  </si>
  <si>
    <t xml:space="preserve">Order with insufficient delivered quantity</t>
  </si>
  <si>
    <t xml:space="preserve">SO/2026/0076 — status: Partially Delivered (backorder open)</t>
  </si>
  <si>
    <t xml:space="preserve">1. Open delivery. 2. Set done quantity below demand. 3. Validate and create backorder. 4. Create invoice from delivered quantity.</t>
  </si>
  <si>
    <t xml:space="preserve">Backorder created; invoice quantity equals delivered quantity (see Sales Order Lines: ordered &gt; delivered).</t>
  </si>
  <si>
    <t xml:space="preserve">SIM-EVD-008 (simulated data cross-reference)</t>
  </si>
  <si>
    <t xml:space="preserve">TC-009</t>
  </si>
  <si>
    <t xml:space="preserve">SAL-005</t>
  </si>
  <si>
    <t xml:space="preserve">Sales analysis by branch</t>
  </si>
  <si>
    <t xml:space="preserve">Analytic plan Branch applied</t>
  </si>
  <si>
    <t xml:space="preserve">All invoices 1 May 2026 – 30 September 2026; compare branch totals with invoice total EGP 31,077,427</t>
  </si>
  <si>
    <t xml:space="preserve">1. Open Sales Analysis. 2. Group by Branch. 3. Compare total to invoices.</t>
  </si>
  <si>
    <t xml:space="preserve">Branch sub-totals add up to the invoiced net.</t>
  </si>
  <si>
    <t xml:space="preserve">TC-010</t>
  </si>
  <si>
    <t xml:space="preserve">SAL-006</t>
  </si>
  <si>
    <t xml:space="preserve">Contract discount applied by pricelist</t>
  </si>
  <si>
    <t xml:space="preserve">Pricelist assigned to CUS-009 (5%)</t>
  </si>
  <si>
    <t xml:space="preserve">Product CN-GLV-001 qty 100</t>
  </si>
  <si>
    <t xml:space="preserve">1. New quotation for CUS-009. 2. Add product.</t>
  </si>
  <si>
    <t xml:space="preserve">Price equals list price less 5%.</t>
  </si>
  <si>
    <t xml:space="preserve">SIM-EVD-010 (simulated data cross-reference)</t>
  </si>
  <si>
    <t xml:space="preserve">TC-011</t>
  </si>
  <si>
    <t xml:space="preserve">SAL-007</t>
  </si>
  <si>
    <t xml:space="preserve">Warranty end date for delivered serial</t>
  </si>
  <si>
    <t xml:space="preserve">Warranty months set on product; serial delivered</t>
  </si>
  <si>
    <t xml:space="preserve">Serial SN-AUT-2603-0001 delivered to CUS-011 on 2026-08-20; warranty end 2028-08-20</t>
  </si>
  <si>
    <t xml:space="preserve">1. Open the serial in Traceability. 2. View warranty end date and status.</t>
  </si>
  <si>
    <t xml:space="preserve">Warranty end date = delivery date + warranty months (requires proposed custom field/report).</t>
  </si>
  <si>
    <t xml:space="preserve">TC-012</t>
  </si>
  <si>
    <t xml:space="preserve">SAL-008</t>
  </si>
  <si>
    <t xml:space="preserve">Customer return received into quarantine and credited</t>
  </si>
  <si>
    <t xml:space="preserve">Delivered and invoiced order</t>
  </si>
  <si>
    <t xml:space="preserve">QRT/RET/0001 on INV/2026/00007: CN-SYR-001 qty 13, reason 'Damaged in transit'; credit note RINV/2026/00001</t>
  </si>
  <si>
    <t xml:space="preserve">1. Open invoice &gt; Reverse / Return. 2. Receive return in QRT/Quarantine. 3. Post credit note.</t>
  </si>
  <si>
    <t xml:space="preserve">Stock enters QRT/Quarantine; credit note reverses revenue and VAT for the returned quantity.</t>
  </si>
  <si>
    <t xml:space="preserve">SIM-EVD-012 (simulated data cross-reference)</t>
  </si>
  <si>
    <t xml:space="preserve">TC-013</t>
  </si>
  <si>
    <t xml:space="preserve">SAL-009</t>
  </si>
  <si>
    <t xml:space="preserve">Retail cash sale at Maadi</t>
  </si>
  <si>
    <t xml:space="preserve">Retail customer CUS-013; Maadi cash safe journal CSH2</t>
  </si>
  <si>
    <t xml:space="preserve">SO/2026/0005 invoice INV/2026/00003 total EGP 3,990</t>
  </si>
  <si>
    <t xml:space="preserve">1. Create order. 2. Deliver. 3. Invoice. 4. Register cash payment in CSH2.</t>
  </si>
  <si>
    <t xml:space="preserve">Invoice paid in full on the same day; CSH2 increases.</t>
  </si>
  <si>
    <t xml:space="preserve">SIM-EVD-013 (simulated data cross-reference)</t>
  </si>
  <si>
    <t xml:space="preserve">TC-014</t>
  </si>
  <si>
    <t xml:space="preserve">PUR-001</t>
  </si>
  <si>
    <t xml:space="preserve">Purchase</t>
  </si>
  <si>
    <t xml:space="preserve">RFQ converted to PO</t>
  </si>
  <si>
    <t xml:space="preserve">Vendor and products exist</t>
  </si>
  <si>
    <t xml:space="preserve">PO/2026/0001 to Helios Medical Systems GmbH for warehouse EQP</t>
  </si>
  <si>
    <t xml:space="preserve">1. Create RFQ. 2. Confirm order. 3. Check receipt.</t>
  </si>
  <si>
    <t xml:space="preserve">PO confirmed; receipt created for warehouse with expected date.</t>
  </si>
  <si>
    <t xml:space="preserve">Fathy Adel Fathy</t>
  </si>
  <si>
    <t xml:space="preserve">SIM-EVD-014 (simulated data cross-reference)</t>
  </si>
  <si>
    <t xml:space="preserve">TC-015</t>
  </si>
  <si>
    <t xml:space="preserve">PUR-002</t>
  </si>
  <si>
    <t xml:space="preserve">PO above EGP 250,000 requires approval</t>
  </si>
  <si>
    <t xml:space="preserve">Double validation threshold configured</t>
  </si>
  <si>
    <t xml:space="preserve">MRI purchase PO/2026/0007 total EGP 18,500,000</t>
  </si>
  <si>
    <t xml:space="preserve">1. Create PO above threshold. 2. Confirm as buyer. 3. Approve as manager.</t>
  </si>
  <si>
    <t xml:space="preserve">State = To Approve until approved.</t>
  </si>
  <si>
    <t xml:space="preserve">SIM-EVD-015 (simulated data cross-reference)</t>
  </si>
  <si>
    <t xml:space="preserve">TC-016</t>
  </si>
  <si>
    <t xml:space="preserve">PUR-003</t>
  </si>
  <si>
    <t xml:space="preserve">Scheduler creates RFQs from reordering rules</t>
  </si>
  <si>
    <t xml:space="preserve">Reordering rules defined; stock below minimum</t>
  </si>
  <si>
    <t xml:space="preserve">First replenishment PO in period: PO/2026/0001 (2026-05-17)</t>
  </si>
  <si>
    <t xml:space="preserve">1. Inventory &gt; Operations &gt; Replenishment. 2. Run scheduler. 3. Review generated RFQs.</t>
  </si>
  <si>
    <t xml:space="preserve">RFQs created per vendor up to max quantity.</t>
  </si>
  <si>
    <t xml:space="preserve">SIM-EVD-016 (simulated data cross-reference)</t>
  </si>
  <si>
    <t xml:space="preserve">TC-017</t>
  </si>
  <si>
    <t xml:space="preserve">PUR-004</t>
  </si>
  <si>
    <t xml:space="preserve">Bill matched to received quantity</t>
  </si>
  <si>
    <t xml:space="preserve">Receipt validated</t>
  </si>
  <si>
    <t xml:space="preserve">PO/2026/0004 received CON/IN/00001; bill BILL/2026/00001</t>
  </si>
  <si>
    <t xml:space="preserve">1. Create bill from PO. 2. Compare billed qty with received qty.</t>
  </si>
  <si>
    <t xml:space="preserve">Bill quantities equal received quantities; net EGP 102,828.</t>
  </si>
  <si>
    <t xml:space="preserve">SIM-EVD-017 (simulated data cross-reference)</t>
  </si>
  <si>
    <t xml:space="preserve">TC-018</t>
  </si>
  <si>
    <t xml:space="preserve">PUR-005</t>
  </si>
  <si>
    <t xml:space="preserve">Supplier return of failed-inspection goods</t>
  </si>
  <si>
    <t xml:space="preserve">Failed QC; stock in QRT</t>
  </si>
  <si>
    <t xml:space="preserve">QRT/SRET/0001: EQ-SUR-001 lot SN-SUR-2606-0017 qty 1 to Pharos Surgical Supplies</t>
  </si>
  <si>
    <t xml:space="preserve">1. Create return from the bill's receipt. 2. Validate from QRT to vendor. 3. Post debit note.</t>
  </si>
  <si>
    <t xml:space="preserve">Payable reduced by debit note; stock leaves QRT.</t>
  </si>
  <si>
    <t xml:space="preserve">SIM-EVD-018 (simulated data cross-reference)</t>
  </si>
  <si>
    <t xml:space="preserve">TC-019</t>
  </si>
  <si>
    <t xml:space="preserve">PUR-006</t>
  </si>
  <si>
    <t xml:space="preserve">Serial-tracked equipment purchase (MRI)</t>
  </si>
  <si>
    <t xml:space="preserve">Capital equipment product tracked by serial</t>
  </si>
  <si>
    <t xml:space="preserve">PO/2026/0007: EQ-MRI-001 qty 1 from VEN-002</t>
  </si>
  <si>
    <t xml:space="preserve">1. Create manual PO. 2. Receive and enter serial number. 3. Confirm quantity 1.</t>
  </si>
  <si>
    <t xml:space="preserve">Serial created and linked to receipt; on-hand = 1 in EQP.</t>
  </si>
  <si>
    <t xml:space="preserve">SIM-EVD-019 (simulated data cross-reference)</t>
  </si>
  <si>
    <t xml:space="preserve">TC-020</t>
  </si>
  <si>
    <t xml:space="preserve">PUR-007</t>
  </si>
  <si>
    <t xml:space="preserve">Consumables purchase with lot and expiry</t>
  </si>
  <si>
    <t xml:space="preserve">Product CN-GLV-001 lot + expiry tracked</t>
  </si>
  <si>
    <t xml:space="preserve">Receipt of CN-GLV-001 with vendor lot and expiry</t>
  </si>
  <si>
    <t xml:space="preserve">1. Validate receipt. 2. Enter lot and expiry date for each line.</t>
  </si>
  <si>
    <t xml:space="preserve">Validation requires lot and expiry; lot appears in Lot register.</t>
  </si>
  <si>
    <t xml:space="preserve">SIM-EVD-020 (simulated data cross-reference)</t>
  </si>
  <si>
    <t xml:space="preserve">TC-021</t>
  </si>
  <si>
    <t xml:space="preserve">INV-001</t>
  </si>
  <si>
    <t xml:space="preserve">Inventory</t>
  </si>
  <si>
    <t xml:space="preserve">Two-step receipt and putaway</t>
  </si>
  <si>
    <t xml:space="preserve">Warehouse CON set to 2-step reception</t>
  </si>
  <si>
    <t xml:space="preserve">A receipt for CON</t>
  </si>
  <si>
    <t xml:space="preserve">1. Validate receipt into CON/Input. 2. Process internal putaway to CON/Stock.</t>
  </si>
  <si>
    <t xml:space="preserve">Stock available only after putaway.</t>
  </si>
  <si>
    <t xml:space="preserve">Ahmed Mahmoud Mohamed</t>
  </si>
  <si>
    <t xml:space="preserve">SIM-EVD-021 (simulated data cross-reference)</t>
  </si>
  <si>
    <t xml:space="preserve">TC-022</t>
  </si>
  <si>
    <t xml:space="preserve">INV-002</t>
  </si>
  <si>
    <t xml:space="preserve">Failed incoming inspection routed to quarantine</t>
  </si>
  <si>
    <t xml:space="preserve">Quality control point on receipts</t>
  </si>
  <si>
    <t xml:space="preserve">A receipt line fails QC (see Customer and Supplier Returns: SRET)</t>
  </si>
  <si>
    <t xml:space="preserve">1. Open quality check. 2. Mark Fail. 3. Create transfer to QRT.</t>
  </si>
  <si>
    <t xml:space="preserve">Failed units are moved to QRT/Quarantine and blocked from sale (Quality app = Enterprise).</t>
  </si>
  <si>
    <t xml:space="preserve">Not run. Behaviour depends on enterprise feature / further technical verification; planned for the pilot environment.</t>
  </si>
  <si>
    <t xml:space="preserve">Ahmed Mahmoud Mohamed (planned)</t>
  </si>
  <si>
    <t xml:space="preserve">TC-023</t>
  </si>
  <si>
    <t xml:space="preserve">INV-003</t>
  </si>
  <si>
    <t xml:space="preserve">Lot assignment on receipt</t>
  </si>
  <si>
    <t xml:space="preserve">Lot-tracked product</t>
  </si>
  <si>
    <t xml:space="preserve">Lot register in Products workbook</t>
  </si>
  <si>
    <t xml:space="preserve">1. Receive lot-tracked product. 2. Assign lot names.</t>
  </si>
  <si>
    <t xml:space="preserve">Lot quantities match the register.</t>
  </si>
  <si>
    <t xml:space="preserve">SIM-EVD-023 (simulated data cross-reference)</t>
  </si>
  <si>
    <t xml:space="preserve">TC-024</t>
  </si>
  <si>
    <t xml:space="preserve">INV-004</t>
  </si>
  <si>
    <t xml:space="preserve">Serial numbers on receipt</t>
  </si>
  <si>
    <t xml:space="preserve">Serial-tracked product</t>
  </si>
  <si>
    <t xml:space="preserve">Serial register entries for EQ-INF-001</t>
  </si>
  <si>
    <t xml:space="preserve">1. Receive 4 units. 2. Generate/import serials.</t>
  </si>
  <si>
    <t xml:space="preserve">Four unique serials; duplicates rejected.</t>
  </si>
  <si>
    <t xml:space="preserve">SIM-EVD-024 (simulated data cross-reference)</t>
  </si>
  <si>
    <t xml:space="preserve">TC-025</t>
  </si>
  <si>
    <t xml:space="preserve">INV-005</t>
  </si>
  <si>
    <t xml:space="preserve">Expiry date shown on lots</t>
  </si>
  <si>
    <t xml:space="preserve">Expiration dates enabled</t>
  </si>
  <si>
    <t xml:space="preserve">Lot register (expiry column)</t>
  </si>
  <si>
    <t xml:space="preserve">1. Open a lot. 2. Verify expiry, alert and removal dates.</t>
  </si>
  <si>
    <t xml:space="preserve">Dates match the Lot and Batch Register.</t>
  </si>
  <si>
    <t xml:space="preserve">SIM-EVD-025 (simulated data cross-reference)</t>
  </si>
  <si>
    <t xml:space="preserve">TC-026</t>
  </si>
  <si>
    <t xml:space="preserve">INV-006</t>
  </si>
  <si>
    <t xml:space="preserve">FEFO picks earliest-expiry lot first</t>
  </si>
  <si>
    <t xml:space="preserve">Removal strategy FEFO on category MED-CON</t>
  </si>
  <si>
    <t xml:space="preserve">CON/OUT/00010: CN-MSK-001 picked LOT-MSK-2602A1 x171 (exp 2027-03-12); LOT-MSK-2603B2 x326 (exp 2027-08-26)</t>
  </si>
  <si>
    <t xml:space="preserve">1. Reserve the delivery. 2. Compare reserved lots with expiry dates.</t>
  </si>
  <si>
    <t xml:space="preserve">Lots reserved in ascending expiry order.</t>
  </si>
  <si>
    <t xml:space="preserve">SIM-EVD-026 (simulated data cross-reference)</t>
  </si>
  <si>
    <t xml:space="preserve">TC-027</t>
  </si>
  <si>
    <t xml:space="preserve">INV-007</t>
  </si>
  <si>
    <t xml:space="preserve">Near-expiry alert and report</t>
  </si>
  <si>
    <t xml:space="preserve">Alert time = 60 days</t>
  </si>
  <si>
    <t xml:space="preserve">Lot LOT-PAD-2602A1 (CN-PAD-001) expires 2026-11-25 with 20 units in QRT</t>
  </si>
  <si>
    <t xml:space="preserve">1. Run Near-Expiry report. 2. Filter Days to Expiry &lt;= 60.</t>
  </si>
  <si>
    <t xml:space="preserve">Flagged lot appears; sale of lots with &lt;60 days is excluded by process.</t>
  </si>
  <si>
    <t xml:space="preserve">TC-028</t>
  </si>
  <si>
    <t xml:space="preserve">INV-008</t>
  </si>
  <si>
    <t xml:space="preserve">Inter-warehouse transfer without double counting</t>
  </si>
  <si>
    <t xml:space="preserve">Two internal warehouses</t>
  </si>
  <si>
    <t xml:space="preserve">INT/00002: SP-BAT-001 qty 6 SPR → EQP on 2026-06-15</t>
  </si>
  <si>
    <t xml:space="preserve">1. Create internal transfer. 2. Validate.</t>
  </si>
  <si>
    <t xml:space="preserve">Source decreases, destination increases; company total unchanged.</t>
  </si>
  <si>
    <t xml:space="preserve">SIM-EVD-028 (simulated data cross-reference)</t>
  </si>
  <si>
    <t xml:space="preserve">TC-029</t>
  </si>
  <si>
    <t xml:space="preserve">INV-009</t>
  </si>
  <si>
    <t xml:space="preserve">Quarantine transfer for damaged stock</t>
  </si>
  <si>
    <t xml:space="preserve">QRT warehouse configured as non-sellable</t>
  </si>
  <si>
    <t xml:space="preserve">SCRAP/0001: CN-SYR-001 lot LOT-SYR-2603A1</t>
  </si>
  <si>
    <t xml:space="preserve">1. Transfer item to QRT. 2. Try to reserve it on a delivery.</t>
  </si>
  <si>
    <t xml:space="preserve">Item not reservable.</t>
  </si>
  <si>
    <t xml:space="preserve">SIM-EVD-029 (simulated data cross-reference)</t>
  </si>
  <si>
    <t xml:space="preserve">TC-030</t>
  </si>
  <si>
    <t xml:space="preserve">INV-010</t>
  </si>
  <si>
    <t xml:space="preserve">Scrap expired lot to expiry-loss account</t>
  </si>
  <si>
    <t xml:space="preserve">Scrap reason Expired mapped to 540200</t>
  </si>
  <si>
    <t xml:space="preserve">SCRAP/0003 on 2026-06-30 value EGP 46,000</t>
  </si>
  <si>
    <t xml:space="preserve">1. Create scrap order. 2. Validate. 3. Open journal entry.</t>
  </si>
  <si>
    <t xml:space="preserve">Dr 540200 / Cr inventory 130200 at cost.</t>
  </si>
  <si>
    <t xml:space="preserve">TC-031</t>
  </si>
  <si>
    <t xml:space="preserve">INV-011</t>
  </si>
  <si>
    <t xml:space="preserve">Cycle-count shortage adjustment</t>
  </si>
  <si>
    <t xml:space="preserve">Inventory adjustment enabled</t>
  </si>
  <si>
    <t xml:space="preserve">ADJ/2026/0002: Physical count shortage (cycle count)</t>
  </si>
  <si>
    <t xml:space="preserve">1. Inventory &gt; Adjustments. 2. Apply counted quantity. 3. Review entry.</t>
  </si>
  <si>
    <t xml:space="preserve">On-hand updated; Dr 540100 / Cr inventory.</t>
  </si>
  <si>
    <t xml:space="preserve">SIM-EVD-031 (simulated data cross-reference)</t>
  </si>
  <si>
    <t xml:space="preserve">TC-032</t>
  </si>
  <si>
    <t xml:space="preserve">INV-012</t>
  </si>
  <si>
    <t xml:space="preserve">Reordering rules loaded</t>
  </si>
  <si>
    <t xml:space="preserve">Rules imported</t>
  </si>
  <si>
    <t xml:space="preserve">Reordering Rules sheet (24 products; 23 with rules)</t>
  </si>
  <si>
    <t xml:space="preserve">1. Open Reordering Rules. 2. Compare with the sheet.</t>
  </si>
  <si>
    <t xml:space="preserve">Rules equal Min/Max/Multiple per product.</t>
  </si>
  <si>
    <t xml:space="preserve">SIM-EVD-032 (simulated data cross-reference)</t>
  </si>
  <si>
    <t xml:space="preserve">TC-033</t>
  </si>
  <si>
    <t xml:space="preserve">INV-013</t>
  </si>
  <si>
    <t xml:space="preserve">Recall trace for a lot / serial</t>
  </si>
  <si>
    <t xml:space="preserve">Traceability report enabled</t>
  </si>
  <si>
    <t xml:space="preserve">Serial SN-AUT-2603-0001 → customer CUS-011</t>
  </si>
  <si>
    <t xml:space="preserve">1. Inventory &gt; Traceability. 2. Enter serial. 3. View upstream and downstream.</t>
  </si>
  <si>
    <t xml:space="preserve">Report lists vendor receipt and customer delivery.</t>
  </si>
  <si>
    <t xml:space="preserve">SIM-EVD-033 (simulated data cross-reference)</t>
  </si>
  <si>
    <t xml:space="preserve">TC-034</t>
  </si>
  <si>
    <t xml:space="preserve">INV-014</t>
  </si>
  <si>
    <t xml:space="preserve">Pick then ship</t>
  </si>
  <si>
    <t xml:space="preserve">2-step delivery on EQP</t>
  </si>
  <si>
    <t xml:space="preserve">Delivery from EQP</t>
  </si>
  <si>
    <t xml:space="preserve">1. Validate pick. 2. Validate ship.</t>
  </si>
  <si>
    <t xml:space="preserve">Stock leaves EQP/Output on ship.</t>
  </si>
  <si>
    <t xml:space="preserve">SIM-EVD-034 (simulated data cross-reference)</t>
  </si>
  <si>
    <t xml:space="preserve">TC-035</t>
  </si>
  <si>
    <t xml:space="preserve">INV-015</t>
  </si>
  <si>
    <t xml:space="preserve">Negative stock blocked</t>
  </si>
  <si>
    <t xml:space="preserve">Negative quantities disallowed</t>
  </si>
  <si>
    <t xml:space="preserve">Deliver 99,999 units of CN-GLV-001</t>
  </si>
  <si>
    <t xml:space="preserve">1. Reserve. 2. Force validation.</t>
  </si>
  <si>
    <t xml:space="preserve">Validation refused; no negative stock.</t>
  </si>
  <si>
    <t xml:space="preserve">SIM-EVD-035 (simulated data cross-reference)</t>
  </si>
  <si>
    <t xml:space="preserve">TC-036</t>
  </si>
  <si>
    <t xml:space="preserve">INV-016</t>
  </si>
  <si>
    <t xml:space="preserve">Barcode scan selects product</t>
  </si>
  <si>
    <t xml:space="preserve">Barcode app installed</t>
  </si>
  <si>
    <t xml:space="preserve">Barcode 6229990000034</t>
  </si>
  <si>
    <t xml:space="preserve">1. Open Barcode app. 2. Scan.</t>
  </si>
  <si>
    <t xml:space="preserve">Product selected.</t>
  </si>
  <si>
    <t xml:space="preserve">Not run. Behaviour depends on optional app / further technical verification; planned for the pilot environment.</t>
  </si>
  <si>
    <t xml:space="preserve">TC-037</t>
  </si>
  <si>
    <t xml:space="preserve">INV-017</t>
  </si>
  <si>
    <t xml:space="preserve">Valuation report equals GL</t>
  </si>
  <si>
    <t xml:space="preserve">Automated valuation</t>
  </si>
  <si>
    <t xml:space="preserve">Inventory total EGP 24,536,323 at 30-Sep-2026</t>
  </si>
  <si>
    <t xml:space="preserve">1. Open valuation report. 2. Compare to accounts 1301xx-1303xx.</t>
  </si>
  <si>
    <t xml:space="preserve">Totals equal.</t>
  </si>
  <si>
    <t xml:space="preserve">SIM-EVD-037 (simulated data cross-reference)</t>
  </si>
  <si>
    <t xml:space="preserve">TC-038</t>
  </si>
  <si>
    <t xml:space="preserve">ACC-001</t>
  </si>
  <si>
    <t xml:space="preserve">Accounting</t>
  </si>
  <si>
    <t xml:space="preserve">Invoice posting with VAT and branch</t>
  </si>
  <si>
    <t xml:space="preserve">Delivered order</t>
  </si>
  <si>
    <t xml:space="preserve">INV/2026/00001: net EGP 134,007, VAT EGP 18,761</t>
  </si>
  <si>
    <t xml:space="preserve">1. Create invoice from order. 2. Post. 3. Review journal entry.</t>
  </si>
  <si>
    <t xml:space="preserve">Dr 120100 total; Cr revenue and 220100; branch analytic.</t>
  </si>
  <si>
    <t xml:space="preserve">Omnia Haitham</t>
  </si>
  <si>
    <t xml:space="preserve">SIM-EVD-038 (simulated data cross-reference)</t>
  </si>
  <si>
    <t xml:space="preserve">TC-039</t>
  </si>
  <si>
    <t xml:space="preserve">ACC-002</t>
  </si>
  <si>
    <t xml:space="preserve">Vendor bill posting</t>
  </si>
  <si>
    <t xml:space="preserve">BILL/2026/00001 net EGP 102,828 VAT EGP 14,395</t>
  </si>
  <si>
    <t xml:space="preserve">1. Create bill. 2. Post.</t>
  </si>
  <si>
    <t xml:space="preserve">Dr 210500 and 140300; Cr 210100.</t>
  </si>
  <si>
    <t xml:space="preserve">SIM-EVD-039 (simulated data cross-reference)</t>
  </si>
  <si>
    <t xml:space="preserve">TC-040</t>
  </si>
  <si>
    <t xml:space="preserve">ACC-003</t>
  </si>
  <si>
    <t xml:space="preserve">Partial payment keeps invoice open</t>
  </si>
  <si>
    <t xml:space="preserve">Invoice posted</t>
  </si>
  <si>
    <t xml:space="preserve">INV/2026/00015 total EGP 64,350, paid EGP 38,610 in 1 receipts</t>
  </si>
  <si>
    <t xml:space="preserve">1. Register payment of part of the amount. 2. Register second payment.</t>
  </si>
  <si>
    <t xml:space="preserve">Invoice shows partial then paid.</t>
  </si>
  <si>
    <t xml:space="preserve">SIM-EVD-040 (simulated data cross-reference)</t>
  </si>
  <si>
    <t xml:space="preserve">TC-041</t>
  </si>
  <si>
    <t xml:space="preserve">ACC-004</t>
  </si>
  <si>
    <t xml:space="preserve">Credit note reduces receivable</t>
  </si>
  <si>
    <t xml:space="preserve">Posted invoice</t>
  </si>
  <si>
    <t xml:space="preserve">RINV/2026/00001 against INV/2026/00007 EGP 2,889</t>
  </si>
  <si>
    <t xml:space="preserve">1. Add credit note. 2. Post.</t>
  </si>
  <si>
    <t xml:space="preserve">Dr 420100 and 220100; Cr 120100.</t>
  </si>
  <si>
    <t xml:space="preserve">SIM-EVD-041 (simulated data cross-reference)</t>
  </si>
  <si>
    <t xml:space="preserve">TC-042</t>
  </si>
  <si>
    <t xml:space="preserve">ACC-005</t>
  </si>
  <si>
    <t xml:space="preserve">COGS recognised at FIFO cost</t>
  </si>
  <si>
    <t xml:space="preserve">Delivery and invoice of INV/2026/00001</t>
  </si>
  <si>
    <t xml:space="preserve">1. Validate delivery. 2. Post invoice. 3. Review entries.</t>
  </si>
  <si>
    <t xml:space="preserve">Dr COGS / Cr 130600 at cost; margin matches product cost.</t>
  </si>
  <si>
    <t xml:space="preserve">SIM-EVD-042 (simulated data cross-reference)</t>
  </si>
  <si>
    <t xml:space="preserve">TC-043</t>
  </si>
  <si>
    <t xml:space="preserve">ACC-006</t>
  </si>
  <si>
    <t xml:space="preserve">VAT 14% totals</t>
  </si>
  <si>
    <t xml:space="preserve">Taxes configured</t>
  </si>
  <si>
    <t xml:space="preserve">Output VAT EGP 4,232,652 / input VAT EGP 3,436,752</t>
  </si>
  <si>
    <t xml:space="preserve">1. Run VAT report. 2. Compare accounts.</t>
  </si>
  <si>
    <t xml:space="preserve">Equal.</t>
  </si>
  <si>
    <t xml:space="preserve">Omnia Haitham (planned)</t>
  </si>
  <si>
    <t xml:space="preserve">TC-044</t>
  </si>
  <si>
    <t xml:space="preserve">ACC-007</t>
  </si>
  <si>
    <t xml:space="preserve">Branch P&amp;L</t>
  </si>
  <si>
    <t xml:space="preserve">Analytic plan applied</t>
  </si>
  <si>
    <t xml:space="preserve">P&amp;L filtered by BR-NSC / BR-MAA / BR-MOH</t>
  </si>
  <si>
    <t xml:space="preserve">1. Open P&amp;L. 2. Group by Branch.</t>
  </si>
  <si>
    <t xml:space="preserve">Branches add up to total.</t>
  </si>
  <si>
    <t xml:space="preserve">TC-045</t>
  </si>
  <si>
    <t xml:space="preserve">ACC-008</t>
  </si>
  <si>
    <t xml:space="preserve">Lock date prevents back-posting</t>
  </si>
  <si>
    <t xml:space="preserve">Lock date 2026-09-30</t>
  </si>
  <si>
    <t xml:space="preserve">Post an entry dated 2026-09-15</t>
  </si>
  <si>
    <t xml:space="preserve">1. Create journal entry. 2. Post.</t>
  </si>
  <si>
    <t xml:space="preserve">Posting blocked for non-advisers.</t>
  </si>
  <si>
    <t xml:space="preserve">Not run. Behaviour depends on standard / further technical verification; planned for the pilot environment.</t>
  </si>
  <si>
    <t xml:space="preserve">TC-046</t>
  </si>
  <si>
    <t xml:space="preserve">ACC-009</t>
  </si>
  <si>
    <t xml:space="preserve">Aged receivables total</t>
  </si>
  <si>
    <t xml:space="preserve">Invoices open</t>
  </si>
  <si>
    <t xml:space="preserve">Receivables EGP 29,532,073 at 30-Sep-2026</t>
  </si>
  <si>
    <t xml:space="preserve">1. Open Aged Receivable. 2. Compare total.</t>
  </si>
  <si>
    <t xml:space="preserve">Total equals 120100.</t>
  </si>
  <si>
    <t xml:space="preserve">SIM-EVD-046 (simulated data cross-reference)</t>
  </si>
  <si>
    <t xml:space="preserve">TC-047</t>
  </si>
  <si>
    <t xml:space="preserve">ACC-010</t>
  </si>
  <si>
    <t xml:space="preserve">Chart of accounts import</t>
  </si>
  <si>
    <t xml:space="preserve">CSV prepared</t>
  </si>
  <si>
    <t xml:space="preserve">101 accounts (Organization_and_Accounting_Charts.xlsx)</t>
  </si>
  <si>
    <t xml:space="preserve">1. Import CSV. 2. Check for errors and types.</t>
  </si>
  <si>
    <t xml:space="preserve">101 accounts, no duplicates.</t>
  </si>
  <si>
    <t xml:space="preserve">SIM-EVD-047 (simulated data cross-reference)</t>
  </si>
  <si>
    <t xml:space="preserve">TC-048</t>
  </si>
  <si>
    <t xml:space="preserve">ACC-011</t>
  </si>
  <si>
    <t xml:space="preserve">Bank statement reconciliation</t>
  </si>
  <si>
    <t xml:space="preserve">CIB journal</t>
  </si>
  <si>
    <t xml:space="preserve">CIB statement lines for September</t>
  </si>
  <si>
    <t xml:space="preserve">1. Import statement. 2. Reconcile.</t>
  </si>
  <si>
    <t xml:space="preserve">Suspense zero.</t>
  </si>
  <si>
    <t xml:space="preserve">TC-049</t>
  </si>
  <si>
    <t xml:space="preserve">ACC-012</t>
  </si>
  <si>
    <t xml:space="preserve">Stock-to-GL reconciliation</t>
  </si>
  <si>
    <t xml:space="preserve">Month-end</t>
  </si>
  <si>
    <t xml:space="preserve">Valuation EGP 24,536,323</t>
  </si>
  <si>
    <t xml:space="preserve">1. Compare valuation to accounts 130100-130300.</t>
  </si>
  <si>
    <t xml:space="preserve">Difference zero.</t>
  </si>
  <si>
    <t xml:space="preserve">Not run. Behaviour depends on manual procedure / further technical verification; planned for the pilot environment.</t>
  </si>
  <si>
    <t xml:space="preserve">TC-050</t>
  </si>
  <si>
    <t xml:space="preserve">RPT-001</t>
  </si>
  <si>
    <t xml:space="preserve">Reporting</t>
  </si>
  <si>
    <t xml:space="preserve">Sales analysis equals invoices</t>
  </si>
  <si>
    <t xml:space="preserve">Posted documents</t>
  </si>
  <si>
    <t xml:space="preserve">Net sales after returns EGP 30,233,232</t>
  </si>
  <si>
    <t xml:space="preserve">1. Open sales analysis.</t>
  </si>
  <si>
    <t xml:space="preserve">SIM-EVD-050 (simulated data cross-reference)</t>
  </si>
  <si>
    <t xml:space="preserve">TC-051</t>
  </si>
  <si>
    <t xml:space="preserve">RPT-002</t>
  </si>
  <si>
    <t xml:space="preserve">KPI dashboard</t>
  </si>
  <si>
    <t xml:space="preserve">Dashboard configured</t>
  </si>
  <si>
    <t xml:space="preserve">KPIs in BRD</t>
  </si>
  <si>
    <t xml:space="preserve">1. Open dashboard.</t>
  </si>
  <si>
    <t xml:space="preserve">KPIs visible.</t>
  </si>
  <si>
    <t xml:space="preserve">TC-052</t>
  </si>
  <si>
    <t xml:space="preserve">CRM-001</t>
  </si>
  <si>
    <t xml:space="preserve">CRM</t>
  </si>
  <si>
    <t xml:space="preserve">Lead capture and qualification</t>
  </si>
  <si>
    <t xml:space="preserve">Sales team configured</t>
  </si>
  <si>
    <t xml:space="preserve">OPP lead from source 'Hospital tender'</t>
  </si>
  <si>
    <t xml:space="preserve">1. Create lead. 2. Qualify and convert to opportunity.</t>
  </si>
  <si>
    <t xml:space="preserve">Opportunity created with source retained.</t>
  </si>
  <si>
    <t xml:space="preserve">SIM-EVD-052 (simulated data cross-reference)</t>
  </si>
  <si>
    <t xml:space="preserve">TC-053</t>
  </si>
  <si>
    <t xml:space="preserve">CRM-002</t>
  </si>
  <si>
    <t xml:space="preserve">Pipeline stages and probability</t>
  </si>
  <si>
    <t xml:space="preserve">Stages configured</t>
  </si>
  <si>
    <t xml:space="preserve">OPP-0062: stage New</t>
  </si>
  <si>
    <t xml:space="preserve">1. Open pipeline board. 2. Move card to next stage.</t>
  </si>
  <si>
    <t xml:space="preserve">Probability updates with stage; expected revenue totals per stage.</t>
  </si>
  <si>
    <t xml:space="preserve">SIM-EVD-053 (simulated data cross-reference)</t>
  </si>
  <si>
    <t xml:space="preserve">TC-054</t>
  </si>
  <si>
    <t xml:space="preserve">CRM-003</t>
  </si>
  <si>
    <t xml:space="preserve">Quotation from opportunity marks Won</t>
  </si>
  <si>
    <t xml:space="preserve">Opportunity exists</t>
  </si>
  <si>
    <t xml:space="preserve">OPP-0001 linked to SO/2026/0001</t>
  </si>
  <si>
    <t xml:space="preserve">1. Create quotation from opportunity. 2. Confirm order.</t>
  </si>
  <si>
    <t xml:space="preserve">Opportunity moves to Won and links the sales order.</t>
  </si>
  <si>
    <t xml:space="preserve">SIM-EVD-054 (simulated data cross-reference)</t>
  </si>
  <si>
    <t xml:space="preserve">TC-055</t>
  </si>
  <si>
    <t xml:space="preserve">CRM-004</t>
  </si>
  <si>
    <t xml:space="preserve">Sales teams per branch</t>
  </si>
  <si>
    <t xml:space="preserve">Teams defined</t>
  </si>
  <si>
    <t xml:space="preserve">Teams: Nasr City, Maadi, Mohandeseen</t>
  </si>
  <si>
    <t xml:space="preserve">1. Open pipeline analysis. 2. Group by sales team.</t>
  </si>
  <si>
    <t xml:space="preserve">Opportunities and revenue grouped per branch team.</t>
  </si>
  <si>
    <t xml:space="preserve">SIM-EVD-055 (simulated data cross-reference)</t>
  </si>
  <si>
    <t xml:space="preserve">TC-056</t>
  </si>
  <si>
    <t xml:space="preserve">CRM-005</t>
  </si>
  <si>
    <t xml:space="preserve">Activities and reminders</t>
  </si>
  <si>
    <t xml:space="preserve">Call scheduled for OPP-0062</t>
  </si>
  <si>
    <t xml:space="preserve">1. Schedule call. 2. Let due date pass.</t>
  </si>
  <si>
    <t xml:space="preserve">Overdue activity highlighted.</t>
  </si>
  <si>
    <t xml:space="preserve">SIM-EVD-056 (simulated data cross-reference)</t>
  </si>
  <si>
    <t xml:space="preserve">TC-057</t>
  </si>
  <si>
    <t xml:space="preserve">CRM-006</t>
  </si>
  <si>
    <t xml:space="preserve">Pipeline forecast and win rate</t>
  </si>
  <si>
    <t xml:space="preserve">Opportunities in several stages</t>
  </si>
  <si>
    <t xml:space="preserve">Won 62, lost 14, open 10</t>
  </si>
  <si>
    <t xml:space="preserve">1. Open forecast report. 2. Group by month.</t>
  </si>
  <si>
    <t xml:space="preserve">Expected and weighted revenue shown; win rate computed.</t>
  </si>
  <si>
    <t xml:space="preserve">SIM-EVD-057 (simulated data cross-reference)</t>
  </si>
  <si>
    <t xml:space="preserve">TC-058</t>
  </si>
  <si>
    <t xml:space="preserve">CRM-007</t>
  </si>
  <si>
    <t xml:space="preserve">Lost reason required</t>
  </si>
  <si>
    <t xml:space="preserve">Opportunity open</t>
  </si>
  <si>
    <t xml:space="preserve">OPP-0016: reason Competitor selected</t>
  </si>
  <si>
    <t xml:space="preserve">1. Mark opportunity Lost.</t>
  </si>
  <si>
    <t xml:space="preserve">Lost reason is mandatory and appears in lost analysis.</t>
  </si>
  <si>
    <t xml:space="preserve">SIM-EVD-058 (simulated data cross-reference)</t>
  </si>
  <si>
    <t xml:space="preserve">TC-059</t>
  </si>
  <si>
    <t xml:space="preserve">CRM-008</t>
  </si>
  <si>
    <t xml:space="preserve">Tender tracking fields</t>
  </si>
  <si>
    <t xml:space="preserve">Custom fields (proposed)</t>
  </si>
  <si>
    <t xml:space="preserve">Tender reference and deadline</t>
  </si>
  <si>
    <t xml:space="preserve">1. Add fields/tags. 2. Filter by deadline.</t>
  </si>
  <si>
    <t xml:space="preserve">Tender opportunities filterable by deadline.</t>
  </si>
  <si>
    <t xml:space="preserve">TC-060</t>
  </si>
  <si>
    <t xml:space="preserve">RPT-003</t>
  </si>
  <si>
    <t xml:space="preserve">Margin by category</t>
  </si>
  <si>
    <t xml:space="preserve">COGS posted</t>
  </si>
  <si>
    <t xml:space="preserve">Monthly Business Summary</t>
  </si>
  <si>
    <t xml:space="preserve">1. Open margin report.</t>
  </si>
  <si>
    <t xml:space="preserve">Matches summary.</t>
  </si>
  <si>
    <t xml:space="preserve">SIM-EVD-060 (simulated data cross-reference)</t>
  </si>
  <si>
    <t xml:space="preserve">TC-061</t>
  </si>
  <si>
    <t xml:space="preserve">RPT-004</t>
  </si>
  <si>
    <t xml:space="preserve">Customer statement</t>
  </si>
  <si>
    <t xml:space="preserve">Open invoices</t>
  </si>
  <si>
    <t xml:space="preserve">CUS-003 statement</t>
  </si>
  <si>
    <t xml:space="preserve">1. Print statement.</t>
  </si>
  <si>
    <t xml:space="preserve">Open invoices listed.</t>
  </si>
  <si>
    <t xml:space="preserve">SIM-EVD-061 (simulated data cross-reference)</t>
  </si>
  <si>
    <t xml:space="preserve">TC-062</t>
  </si>
  <si>
    <t xml:space="preserve">SEC-001</t>
  </si>
  <si>
    <t xml:space="preserve">Security</t>
  </si>
  <si>
    <t xml:space="preserve">Role access</t>
  </si>
  <si>
    <t xml:space="preserve">Groups defined</t>
  </si>
  <si>
    <t xml:space="preserve">Sales rep tries Accounting</t>
  </si>
  <si>
    <t xml:space="preserve">1. Login as sales rep.</t>
  </si>
  <si>
    <t xml:space="preserve">Menu hidden.</t>
  </si>
  <si>
    <t xml:space="preserve">Mohamed Mahmoud Abdel Bary (planned)</t>
  </si>
  <si>
    <t xml:space="preserve">TC-063</t>
  </si>
  <si>
    <t xml:space="preserve">SEC-002</t>
  </si>
  <si>
    <t xml:space="preserve">Branch-restricted visibility</t>
  </si>
  <si>
    <t xml:space="preserve">Record rules</t>
  </si>
  <si>
    <t xml:space="preserve">Maadi user</t>
  </si>
  <si>
    <t xml:space="preserve">1. Login as Maadi user.</t>
  </si>
  <si>
    <t xml:space="preserve">Only Maadi records.</t>
  </si>
  <si>
    <t xml:space="preserve">TC-064</t>
  </si>
  <si>
    <t xml:space="preserve">SEC-003</t>
  </si>
  <si>
    <t xml:space="preserve">Audit trail on price change</t>
  </si>
  <si>
    <t xml:space="preserve">Tracking on</t>
  </si>
  <si>
    <t xml:space="preserve">Change credit limit</t>
  </si>
  <si>
    <t xml:space="preserve">1. Edit limit.</t>
  </si>
  <si>
    <t xml:space="preserve">Chatter shows change.</t>
  </si>
  <si>
    <t xml:space="preserve">TC-065</t>
  </si>
  <si>
    <t xml:space="preserve">SEC-004</t>
  </si>
  <si>
    <t xml:space="preserve">Segregation of duties</t>
  </si>
  <si>
    <t xml:space="preserve">Rules defined</t>
  </si>
  <si>
    <t xml:space="preserve">Approve own PO</t>
  </si>
  <si>
    <t xml:space="preserve">1. Create PO. 2. Approve own PO.</t>
  </si>
  <si>
    <t xml:space="preserve">Rejected.</t>
  </si>
  <si>
    <t xml:space="preserve">TC-066</t>
  </si>
  <si>
    <t xml:space="preserve">SEC-005</t>
  </si>
  <si>
    <t xml:space="preserve">Backup and restore</t>
  </si>
  <si>
    <t xml:space="preserve">Backup job</t>
  </si>
  <si>
    <t xml:space="preserve">Restore to test DB</t>
  </si>
  <si>
    <t xml:space="preserve">1. Run backup. 2. Restore.</t>
  </si>
  <si>
    <t xml:space="preserve">Counts match.</t>
  </si>
  <si>
    <t xml:space="preserve">TC-067</t>
  </si>
  <si>
    <t xml:space="preserve">NFR-001</t>
  </si>
  <si>
    <t xml:space="preserve">Non-functional</t>
  </si>
  <si>
    <t xml:space="preserve">Arabic RTL print</t>
  </si>
  <si>
    <t xml:space="preserve">Arabic installed</t>
  </si>
  <si>
    <t xml:space="preserve">Invoice printed in Arabic</t>
  </si>
  <si>
    <t xml:space="preserve">1. Switch language. 2. Print.</t>
  </si>
  <si>
    <t xml:space="preserve">RTL layout.</t>
  </si>
  <si>
    <t xml:space="preserve">Fathy Adel Fathy (planned)</t>
  </si>
  <si>
    <t xml:space="preserve">TC-068</t>
  </si>
  <si>
    <t xml:space="preserve">NFR-002</t>
  </si>
  <si>
    <t xml:space="preserve">Cairo timezone and EGP format</t>
  </si>
  <si>
    <t xml:space="preserve">Settings applied</t>
  </si>
  <si>
    <t xml:space="preserve">Create document at 23:30</t>
  </si>
  <si>
    <t xml:space="preserve">1. Create document.</t>
  </si>
  <si>
    <t xml:space="preserve">Cairo time; EGP 2 decimals.</t>
  </si>
  <si>
    <t xml:space="preserve">TC-069</t>
  </si>
  <si>
    <t xml:space="preserve">NFR-003</t>
  </si>
  <si>
    <t xml:space="preserve">Screen response time</t>
  </si>
  <si>
    <t xml:space="preserve">Test server</t>
  </si>
  <si>
    <t xml:space="preserve">1,000-line list</t>
  </si>
  <si>
    <t xml:space="preserve">1. Open list.</t>
  </si>
  <si>
    <t xml:space="preserve">&lt; 3 s.</t>
  </si>
  <si>
    <t xml:space="preserve">TC-070</t>
  </si>
  <si>
    <t xml:space="preserve">NFR-004</t>
  </si>
  <si>
    <t xml:space="preserve">User training task completion</t>
  </si>
  <si>
    <t xml:space="preserve">Training delivered</t>
  </si>
  <si>
    <t xml:space="preserve">Role scripts</t>
  </si>
  <si>
    <t xml:space="preserve">1. Run scripts.</t>
  </si>
  <si>
    <t xml:space="preserve">Tasks completed.</t>
  </si>
  <si>
    <t xml:space="preserve">TC-071</t>
  </si>
  <si>
    <t xml:space="preserve">MIG-001</t>
  </si>
  <si>
    <t xml:space="preserve">Migration</t>
  </si>
  <si>
    <t xml:space="preserve">Import chart and journals</t>
  </si>
  <si>
    <t xml:space="preserve">CSV</t>
  </si>
  <si>
    <t xml:space="preserve">coa.csv, journals.csv</t>
  </si>
  <si>
    <t xml:space="preserve">1. Import.</t>
  </si>
  <si>
    <t xml:space="preserve">Counts equal.</t>
  </si>
  <si>
    <t xml:space="preserve">SIM-EVD-071 (simulated data cross-reference)</t>
  </si>
  <si>
    <t xml:space="preserve">TC-072</t>
  </si>
  <si>
    <t xml:space="preserve">MIG-002</t>
  </si>
  <si>
    <t xml:space="preserve">Import products</t>
  </si>
  <si>
    <t xml:space="preserve">24 products</t>
  </si>
  <si>
    <t xml:space="preserve">24 products with tracking flags.</t>
  </si>
  <si>
    <t xml:space="preserve">SIM-EVD-072 (simulated data cross-reference)</t>
  </si>
  <si>
    <t xml:space="preserve">TC-073</t>
  </si>
  <si>
    <t xml:space="preserve">MIG-003</t>
  </si>
  <si>
    <t xml:space="preserve">Import partners</t>
  </si>
  <si>
    <t xml:space="preserve">13 customers, 6 vendors</t>
  </si>
  <si>
    <t xml:space="preserve">SIM-EVD-073 (simulated data cross-reference)</t>
  </si>
  <si>
    <t xml:space="preserve">TC-074</t>
  </si>
  <si>
    <t xml:space="preserve">MIG-004</t>
  </si>
  <si>
    <t xml:space="preserve">Opening stock load</t>
  </si>
  <si>
    <t xml:space="preserve">Lots exist</t>
  </si>
  <si>
    <t xml:space="preserve">Opening value EGP 24,170,200</t>
  </si>
  <si>
    <t xml:space="preserve">1. Import adjustment.</t>
  </si>
  <si>
    <t xml:space="preserve">Value equals.</t>
  </si>
  <si>
    <t xml:space="preserve">TC-075</t>
  </si>
  <si>
    <t xml:space="preserve">MIG-005</t>
  </si>
  <si>
    <t xml:space="preserve">History load limitation</t>
  </si>
  <si>
    <t xml:space="preserve">—</t>
  </si>
  <si>
    <t xml:space="preserve">Five-month history</t>
  </si>
  <si>
    <t xml:space="preserve">1. Review approach.</t>
  </si>
  <si>
    <t xml:space="preserve">Documented limitation.</t>
  </si>
  <si>
    <t xml:space="preserve">TC-076</t>
  </si>
  <si>
    <t xml:space="preserve">Restock after inspection</t>
  </si>
  <si>
    <t xml:space="preserve">Return received</t>
  </si>
  <si>
    <t xml:space="preserve">QRT/RET/0007: CN-TUB-001 (Excess quantity / order change) restocked after inspection</t>
  </si>
  <si>
    <t xml:space="preserve">1. Inspect. 2. Transfer QRT→home warehouse.</t>
  </si>
  <si>
    <t xml:space="preserve">Stock returns to sellable location.</t>
  </si>
  <si>
    <t xml:space="preserve">SIM-EVD-076 (simulated data cross-reference)</t>
  </si>
  <si>
    <t xml:space="preserve">TC-077</t>
  </si>
  <si>
    <t xml:space="preserve">Cycle-count gain adjustment</t>
  </si>
  <si>
    <t xml:space="preserve">Count approved</t>
  </si>
  <si>
    <t xml:space="preserve">ADJ/2026/0001: Physical count gain (cycle count)</t>
  </si>
  <si>
    <t xml:space="preserve">1. Apply count. 2. Review entry.</t>
  </si>
  <si>
    <t xml:space="preserve">Dr inventory / Cr 540100.</t>
  </si>
  <si>
    <t xml:space="preserve">SIM-EVD-077 (simulated data cross-reference)</t>
  </si>
  <si>
    <t xml:space="preserve">UAT summary (formulas)</t>
  </si>
  <si>
    <t xml:space="preserve">Total test cases</t>
  </si>
  <si>
    <t xml:space="preserve">Failed</t>
  </si>
  <si>
    <t xml:space="preserve">Not executed - requires live Odoo verification</t>
  </si>
  <si>
    <t xml:space="preserve">Passed on live Odoo</t>
  </si>
  <si>
    <t xml:space="preserve">Distinct requirements covered</t>
  </si>
  <si>
    <t xml:space="preserve">By module</t>
  </si>
  <si>
    <t xml:space="preserve">Tests</t>
  </si>
  <si>
    <t xml:space="preserve">Passed (simulated)</t>
  </si>
  <si>
    <t xml:space="preserve">Not executed</t>
  </si>
  <si>
    <t xml:space="preserve">Total</t>
  </si>
  <si>
    <t xml:space="preserve">Description</t>
  </si>
  <si>
    <t xml:space="preserve">Severity</t>
  </si>
  <si>
    <t xml:space="preserve">Status</t>
  </si>
  <si>
    <t xml:space="preserve">Reported By</t>
  </si>
  <si>
    <t xml:space="preserve">Reported Date</t>
  </si>
  <si>
    <t xml:space="preserve">Resolution</t>
  </si>
  <si>
    <t xml:space="preserve">(none)</t>
  </si>
  <si>
    <t xml:space="preserve">No defects recorded - no live Odoo execution has taken place.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</si>
</sst>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10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C8102E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DC262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66699"/>
      <rgbColor rgb="FF969696"/>
      <rgbColor rgb="FF003366"/>
      <rgbColor rgb="FF339966"/>
      <rgbColor rgb="FF003300"/>
      <rgbColor rgb="FF333300"/>
      <rgbColor rgb="FFDC26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Defects" displayName="tblDefects" ref="A1:H2" headerRowCount="1" totalsRowCount="0" totalsRowShown="0">
  <autoFilter ref="A1:H2"/>
  <tableColumns count="8">
    <tableColumn id="1" name="Defect ID"/>
    <tableColumn id="2" name="Test Case ID"/>
    <tableColumn id="3" name="Description"/>
    <tableColumn id="4" name="Severity"/>
    <tableColumn id="5" name="Status"/>
    <tableColumn id="6" name="Reported By"/>
    <tableColumn id="7" name="Reported Date"/>
    <tableColumn id="8" name="Resolution"/>
  </tableColumns>
</table>
</file>

<file path=xl/tables/table2.xml><?xml version="1.0" encoding="utf-8"?>
<table xmlns="http://schemas.openxmlformats.org/spreadsheetml/2006/main" id="2" name="tblUAT" displayName="tblUAT" ref="A1:N78" headerRowCount="1" totalsRowCount="0" totalsRowShown="0">
  <autoFilter ref="A1:N78"/>
  <tableColumns count="14">
    <tableColumn id="1" name="Test Case ID"/>
    <tableColumn id="2" name="Requirement ID"/>
    <tableColumn id="3" name="Module"/>
    <tableColumn id="4" name="Scenario"/>
    <tableColumn id="5" name="Preconditions"/>
    <tableColumn id="6" name="Test Data"/>
    <tableColumn id="7" name="Execution Steps"/>
    <tableColumn id="8" name="Expected Result"/>
    <tableColumn id="9" name="Recorded Result"/>
    <tableColumn id="10" name="Pass/Fail Status"/>
    <tableColumn id="11" name="Tester"/>
    <tableColumn id="12" name="Execution / Review Date"/>
    <tableColumn id="13" name="Evidence Reference"/>
    <tableColumn id="14" name="Defect 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35.0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46"/>
    <col collapsed="false" customWidth="true" hidden="false" outlineLevel="0" max="5" min="5" style="0" width="36"/>
    <col collapsed="false" customWidth="true" hidden="false" outlineLevel="0" max="6" min="6" style="0" width="60"/>
    <col collapsed="false" customWidth="true" hidden="false" outlineLevel="0" max="7" min="7" style="0" width="66"/>
    <col collapsed="false" customWidth="true" hidden="false" outlineLevel="0" max="8" min="8" style="0" width="52"/>
    <col collapsed="false" customWidth="true" hidden="false" outlineLevel="0" max="9" min="9" style="0" width="56"/>
    <col collapsed="false" customWidth="true" hidden="false" outlineLevel="0" max="10" min="10" style="0" width="34"/>
    <col collapsed="false" customWidth="true" hidden="false" outlineLevel="0" max="11" min="11" style="0" width="18"/>
    <col collapsed="false" customWidth="true" hidden="false" outlineLevel="0" max="12" min="12" style="0" width="25"/>
    <col collapsed="false" customWidth="true" hidden="false" outlineLevel="0" max="13" min="13" style="0" width="34"/>
    <col collapsed="false" customWidth="true" hidden="false" outlineLevel="0" max="14" min="14" style="0" width="13"/>
  </cols>
  <sheetData>
    <row r="1" customFormat="false" ht="31.5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13</v>
      </c>
      <c r="M1" s="4" t="s">
        <v>30</v>
      </c>
      <c r="N1" s="4" t="s">
        <v>31</v>
      </c>
    </row>
    <row r="2" customFormat="false" ht="23.85" hidden="false" customHeight="false" outlineLevel="0" collapsed="false">
      <c r="A2" s="5" t="s">
        <v>32</v>
      </c>
      <c r="B2" s="5" t="s">
        <v>33</v>
      </c>
      <c r="C2" s="5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5" t="s">
        <v>41</v>
      </c>
      <c r="K2" s="5" t="s">
        <v>42</v>
      </c>
      <c r="L2" s="7" t="n">
        <v>46308</v>
      </c>
      <c r="M2" s="6" t="s">
        <v>43</v>
      </c>
      <c r="N2" s="5" t="s">
        <v>44</v>
      </c>
    </row>
    <row r="3" customFormat="false" ht="23.85" hidden="false" customHeight="false" outlineLevel="0" collapsed="false">
      <c r="A3" s="5" t="s">
        <v>45</v>
      </c>
      <c r="B3" s="5" t="s">
        <v>46</v>
      </c>
      <c r="C3" s="5" t="s">
        <v>34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40</v>
      </c>
      <c r="J3" s="5" t="s">
        <v>41</v>
      </c>
      <c r="K3" s="5" t="s">
        <v>42</v>
      </c>
      <c r="L3" s="7" t="n">
        <v>46308</v>
      </c>
      <c r="M3" s="6" t="s">
        <v>52</v>
      </c>
      <c r="N3" s="5" t="s">
        <v>44</v>
      </c>
    </row>
    <row r="4" customFormat="false" ht="23.85" hidden="false" customHeight="false" outlineLevel="0" collapsed="false">
      <c r="A4" s="5" t="s">
        <v>53</v>
      </c>
      <c r="B4" s="5" t="s">
        <v>54</v>
      </c>
      <c r="C4" s="5" t="s">
        <v>34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5" t="s">
        <v>61</v>
      </c>
      <c r="K4" s="5" t="s">
        <v>62</v>
      </c>
      <c r="L4" s="7"/>
      <c r="M4" s="6" t="s">
        <v>63</v>
      </c>
      <c r="N4" s="5" t="s">
        <v>44</v>
      </c>
    </row>
    <row r="5" customFormat="false" ht="23.85" hidden="false" customHeight="false" outlineLevel="0" collapsed="false">
      <c r="A5" s="5" t="s">
        <v>64</v>
      </c>
      <c r="B5" s="5" t="s">
        <v>65</v>
      </c>
      <c r="C5" s="5" t="s">
        <v>34</v>
      </c>
      <c r="D5" s="6" t="s">
        <v>66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71</v>
      </c>
      <c r="J5" s="5" t="s">
        <v>61</v>
      </c>
      <c r="K5" s="5" t="s">
        <v>62</v>
      </c>
      <c r="L5" s="7"/>
      <c r="M5" s="6" t="s">
        <v>63</v>
      </c>
      <c r="N5" s="5" t="s">
        <v>44</v>
      </c>
    </row>
    <row r="6" customFormat="false" ht="23.85" hidden="false" customHeight="false" outlineLevel="0" collapsed="false">
      <c r="A6" s="5" t="s">
        <v>72</v>
      </c>
      <c r="B6" s="5" t="s">
        <v>73</v>
      </c>
      <c r="C6" s="5" t="s">
        <v>74</v>
      </c>
      <c r="D6" s="6" t="s">
        <v>75</v>
      </c>
      <c r="E6" s="6" t="s">
        <v>76</v>
      </c>
      <c r="F6" s="6" t="s">
        <v>77</v>
      </c>
      <c r="G6" s="6" t="s">
        <v>78</v>
      </c>
      <c r="H6" s="6" t="s">
        <v>79</v>
      </c>
      <c r="I6" s="6" t="s">
        <v>40</v>
      </c>
      <c r="J6" s="5" t="s">
        <v>41</v>
      </c>
      <c r="K6" s="5" t="s">
        <v>42</v>
      </c>
      <c r="L6" s="7" t="n">
        <v>46308</v>
      </c>
      <c r="M6" s="6" t="s">
        <v>80</v>
      </c>
      <c r="N6" s="5" t="s">
        <v>44</v>
      </c>
    </row>
    <row r="7" customFormat="false" ht="23.85" hidden="false" customHeight="false" outlineLevel="0" collapsed="false">
      <c r="A7" s="5" t="s">
        <v>81</v>
      </c>
      <c r="B7" s="5" t="s">
        <v>82</v>
      </c>
      <c r="C7" s="5" t="s">
        <v>74</v>
      </c>
      <c r="D7" s="6" t="s">
        <v>83</v>
      </c>
      <c r="E7" s="6" t="s">
        <v>84</v>
      </c>
      <c r="F7" s="6" t="s">
        <v>85</v>
      </c>
      <c r="G7" s="6" t="s">
        <v>86</v>
      </c>
      <c r="H7" s="6" t="s">
        <v>87</v>
      </c>
      <c r="I7" s="6" t="s">
        <v>71</v>
      </c>
      <c r="J7" s="5" t="s">
        <v>61</v>
      </c>
      <c r="K7" s="5" t="s">
        <v>62</v>
      </c>
      <c r="L7" s="7"/>
      <c r="M7" s="6" t="s">
        <v>63</v>
      </c>
      <c r="N7" s="5" t="s">
        <v>44</v>
      </c>
    </row>
    <row r="8" customFormat="false" ht="23.85" hidden="false" customHeight="false" outlineLevel="0" collapsed="false">
      <c r="A8" s="5" t="s">
        <v>88</v>
      </c>
      <c r="B8" s="5" t="s">
        <v>89</v>
      </c>
      <c r="C8" s="5" t="s">
        <v>74</v>
      </c>
      <c r="D8" s="6" t="s">
        <v>90</v>
      </c>
      <c r="E8" s="6" t="s">
        <v>91</v>
      </c>
      <c r="F8" s="6" t="s">
        <v>92</v>
      </c>
      <c r="G8" s="6" t="s">
        <v>93</v>
      </c>
      <c r="H8" s="6" t="s">
        <v>94</v>
      </c>
      <c r="I8" s="6" t="s">
        <v>40</v>
      </c>
      <c r="J8" s="5" t="s">
        <v>41</v>
      </c>
      <c r="K8" s="5" t="s">
        <v>42</v>
      </c>
      <c r="L8" s="7" t="n">
        <v>46308</v>
      </c>
      <c r="M8" s="6" t="s">
        <v>95</v>
      </c>
      <c r="N8" s="5" t="s">
        <v>44</v>
      </c>
    </row>
    <row r="9" customFormat="false" ht="23.85" hidden="false" customHeight="false" outlineLevel="0" collapsed="false">
      <c r="A9" s="5" t="s">
        <v>96</v>
      </c>
      <c r="B9" s="5" t="s">
        <v>97</v>
      </c>
      <c r="C9" s="5" t="s">
        <v>74</v>
      </c>
      <c r="D9" s="6" t="s">
        <v>98</v>
      </c>
      <c r="E9" s="6" t="s">
        <v>99</v>
      </c>
      <c r="F9" s="6" t="s">
        <v>100</v>
      </c>
      <c r="G9" s="6" t="s">
        <v>101</v>
      </c>
      <c r="H9" s="6" t="s">
        <v>102</v>
      </c>
      <c r="I9" s="6" t="s">
        <v>40</v>
      </c>
      <c r="J9" s="5" t="s">
        <v>41</v>
      </c>
      <c r="K9" s="5" t="s">
        <v>42</v>
      </c>
      <c r="L9" s="7" t="n">
        <v>46308</v>
      </c>
      <c r="M9" s="6" t="s">
        <v>103</v>
      </c>
      <c r="N9" s="5" t="s">
        <v>44</v>
      </c>
    </row>
    <row r="10" customFormat="false" ht="23.85" hidden="false" customHeight="false" outlineLevel="0" collapsed="false">
      <c r="A10" s="5" t="s">
        <v>104</v>
      </c>
      <c r="B10" s="5" t="s">
        <v>105</v>
      </c>
      <c r="C10" s="5" t="s">
        <v>74</v>
      </c>
      <c r="D10" s="6" t="s">
        <v>106</v>
      </c>
      <c r="E10" s="6" t="s">
        <v>107</v>
      </c>
      <c r="F10" s="6" t="s">
        <v>108</v>
      </c>
      <c r="G10" s="6" t="s">
        <v>109</v>
      </c>
      <c r="H10" s="6" t="s">
        <v>110</v>
      </c>
      <c r="I10" s="6" t="s">
        <v>60</v>
      </c>
      <c r="J10" s="5" t="s">
        <v>61</v>
      </c>
      <c r="K10" s="5" t="s">
        <v>62</v>
      </c>
      <c r="L10" s="7"/>
      <c r="M10" s="6" t="s">
        <v>63</v>
      </c>
      <c r="N10" s="5" t="s">
        <v>44</v>
      </c>
    </row>
    <row r="11" customFormat="false" ht="23.85" hidden="false" customHeight="false" outlineLevel="0" collapsed="false">
      <c r="A11" s="5" t="s">
        <v>111</v>
      </c>
      <c r="B11" s="5" t="s">
        <v>112</v>
      </c>
      <c r="C11" s="5" t="s">
        <v>74</v>
      </c>
      <c r="D11" s="6" t="s">
        <v>113</v>
      </c>
      <c r="E11" s="6" t="s">
        <v>114</v>
      </c>
      <c r="F11" s="6" t="s">
        <v>115</v>
      </c>
      <c r="G11" s="6" t="s">
        <v>116</v>
      </c>
      <c r="H11" s="6" t="s">
        <v>117</v>
      </c>
      <c r="I11" s="6" t="s">
        <v>40</v>
      </c>
      <c r="J11" s="5" t="s">
        <v>41</v>
      </c>
      <c r="K11" s="5" t="s">
        <v>42</v>
      </c>
      <c r="L11" s="7" t="n">
        <v>46308</v>
      </c>
      <c r="M11" s="6" t="s">
        <v>118</v>
      </c>
      <c r="N11" s="5" t="s">
        <v>44</v>
      </c>
    </row>
    <row r="12" customFormat="false" ht="23.85" hidden="false" customHeight="false" outlineLevel="0" collapsed="false">
      <c r="A12" s="5" t="s">
        <v>119</v>
      </c>
      <c r="B12" s="5" t="s">
        <v>120</v>
      </c>
      <c r="C12" s="5" t="s">
        <v>74</v>
      </c>
      <c r="D12" s="6" t="s">
        <v>121</v>
      </c>
      <c r="E12" s="6" t="s">
        <v>122</v>
      </c>
      <c r="F12" s="6" t="s">
        <v>123</v>
      </c>
      <c r="G12" s="6" t="s">
        <v>124</v>
      </c>
      <c r="H12" s="6" t="s">
        <v>125</v>
      </c>
      <c r="I12" s="6" t="s">
        <v>71</v>
      </c>
      <c r="J12" s="5" t="s">
        <v>61</v>
      </c>
      <c r="K12" s="5" t="s">
        <v>62</v>
      </c>
      <c r="L12" s="7"/>
      <c r="M12" s="6" t="s">
        <v>63</v>
      </c>
      <c r="N12" s="5" t="s">
        <v>44</v>
      </c>
    </row>
    <row r="13" customFormat="false" ht="23.85" hidden="false" customHeight="false" outlineLevel="0" collapsed="false">
      <c r="A13" s="5" t="s">
        <v>126</v>
      </c>
      <c r="B13" s="5" t="s">
        <v>127</v>
      </c>
      <c r="C13" s="5" t="s">
        <v>74</v>
      </c>
      <c r="D13" s="6" t="s">
        <v>128</v>
      </c>
      <c r="E13" s="6" t="s">
        <v>129</v>
      </c>
      <c r="F13" s="6" t="s">
        <v>130</v>
      </c>
      <c r="G13" s="6" t="s">
        <v>131</v>
      </c>
      <c r="H13" s="6" t="s">
        <v>132</v>
      </c>
      <c r="I13" s="6" t="s">
        <v>40</v>
      </c>
      <c r="J13" s="5" t="s">
        <v>41</v>
      </c>
      <c r="K13" s="5" t="s">
        <v>42</v>
      </c>
      <c r="L13" s="7" t="n">
        <v>46308</v>
      </c>
      <c r="M13" s="6" t="s">
        <v>133</v>
      </c>
      <c r="N13" s="5" t="s">
        <v>44</v>
      </c>
    </row>
    <row r="14" customFormat="false" ht="23.85" hidden="false" customHeight="false" outlineLevel="0" collapsed="false">
      <c r="A14" s="5" t="s">
        <v>134</v>
      </c>
      <c r="B14" s="5" t="s">
        <v>135</v>
      </c>
      <c r="C14" s="5" t="s">
        <v>74</v>
      </c>
      <c r="D14" s="6" t="s">
        <v>136</v>
      </c>
      <c r="E14" s="6" t="s">
        <v>137</v>
      </c>
      <c r="F14" s="6" t="s">
        <v>138</v>
      </c>
      <c r="G14" s="6" t="s">
        <v>139</v>
      </c>
      <c r="H14" s="6" t="s">
        <v>140</v>
      </c>
      <c r="I14" s="6" t="s">
        <v>40</v>
      </c>
      <c r="J14" s="5" t="s">
        <v>41</v>
      </c>
      <c r="K14" s="5" t="s">
        <v>42</v>
      </c>
      <c r="L14" s="7" t="n">
        <v>46308</v>
      </c>
      <c r="M14" s="6" t="s">
        <v>141</v>
      </c>
      <c r="N14" s="5" t="s">
        <v>44</v>
      </c>
    </row>
    <row r="15" customFormat="false" ht="23.85" hidden="false" customHeight="false" outlineLevel="0" collapsed="false">
      <c r="A15" s="5" t="s">
        <v>142</v>
      </c>
      <c r="B15" s="5" t="s">
        <v>143</v>
      </c>
      <c r="C15" s="5" t="s">
        <v>144</v>
      </c>
      <c r="D15" s="6" t="s">
        <v>145</v>
      </c>
      <c r="E15" s="6" t="s">
        <v>146</v>
      </c>
      <c r="F15" s="6" t="s">
        <v>147</v>
      </c>
      <c r="G15" s="6" t="s">
        <v>148</v>
      </c>
      <c r="H15" s="6" t="s">
        <v>149</v>
      </c>
      <c r="I15" s="6" t="s">
        <v>40</v>
      </c>
      <c r="J15" s="5" t="s">
        <v>41</v>
      </c>
      <c r="K15" s="5" t="s">
        <v>150</v>
      </c>
      <c r="L15" s="7" t="n">
        <v>46308</v>
      </c>
      <c r="M15" s="6" t="s">
        <v>151</v>
      </c>
      <c r="N15" s="5" t="s">
        <v>44</v>
      </c>
    </row>
    <row r="16" customFormat="false" ht="23.85" hidden="false" customHeight="false" outlineLevel="0" collapsed="false">
      <c r="A16" s="5" t="s">
        <v>152</v>
      </c>
      <c r="B16" s="5" t="s">
        <v>153</v>
      </c>
      <c r="C16" s="5" t="s">
        <v>144</v>
      </c>
      <c r="D16" s="6" t="s">
        <v>154</v>
      </c>
      <c r="E16" s="6" t="s">
        <v>155</v>
      </c>
      <c r="F16" s="6" t="s">
        <v>156</v>
      </c>
      <c r="G16" s="6" t="s">
        <v>157</v>
      </c>
      <c r="H16" s="6" t="s">
        <v>158</v>
      </c>
      <c r="I16" s="6" t="s">
        <v>40</v>
      </c>
      <c r="J16" s="5" t="s">
        <v>41</v>
      </c>
      <c r="K16" s="5" t="s">
        <v>150</v>
      </c>
      <c r="L16" s="7" t="n">
        <v>46308</v>
      </c>
      <c r="M16" s="6" t="s">
        <v>159</v>
      </c>
      <c r="N16" s="5" t="s">
        <v>44</v>
      </c>
    </row>
    <row r="17" customFormat="false" ht="23.85" hidden="false" customHeight="false" outlineLevel="0" collapsed="false">
      <c r="A17" s="5" t="s">
        <v>160</v>
      </c>
      <c r="B17" s="5" t="s">
        <v>161</v>
      </c>
      <c r="C17" s="5" t="s">
        <v>144</v>
      </c>
      <c r="D17" s="6" t="s">
        <v>162</v>
      </c>
      <c r="E17" s="6" t="s">
        <v>163</v>
      </c>
      <c r="F17" s="6" t="s">
        <v>164</v>
      </c>
      <c r="G17" s="6" t="s">
        <v>165</v>
      </c>
      <c r="H17" s="6" t="s">
        <v>166</v>
      </c>
      <c r="I17" s="6" t="s">
        <v>40</v>
      </c>
      <c r="J17" s="5" t="s">
        <v>41</v>
      </c>
      <c r="K17" s="5" t="s">
        <v>150</v>
      </c>
      <c r="L17" s="7" t="n">
        <v>46308</v>
      </c>
      <c r="M17" s="6" t="s">
        <v>167</v>
      </c>
      <c r="N17" s="5" t="s">
        <v>44</v>
      </c>
    </row>
    <row r="18" customFormat="false" ht="23.85" hidden="false" customHeight="false" outlineLevel="0" collapsed="false">
      <c r="A18" s="5" t="s">
        <v>168</v>
      </c>
      <c r="B18" s="5" t="s">
        <v>169</v>
      </c>
      <c r="C18" s="5" t="s">
        <v>144</v>
      </c>
      <c r="D18" s="6" t="s">
        <v>170</v>
      </c>
      <c r="E18" s="6" t="s">
        <v>171</v>
      </c>
      <c r="F18" s="6" t="s">
        <v>172</v>
      </c>
      <c r="G18" s="6" t="s">
        <v>173</v>
      </c>
      <c r="H18" s="6" t="s">
        <v>174</v>
      </c>
      <c r="I18" s="6" t="s">
        <v>40</v>
      </c>
      <c r="J18" s="5" t="s">
        <v>41</v>
      </c>
      <c r="K18" s="5" t="s">
        <v>150</v>
      </c>
      <c r="L18" s="7" t="n">
        <v>46308</v>
      </c>
      <c r="M18" s="6" t="s">
        <v>175</v>
      </c>
      <c r="N18" s="5" t="s">
        <v>44</v>
      </c>
    </row>
    <row r="19" customFormat="false" ht="23.85" hidden="false" customHeight="false" outlineLevel="0" collapsed="false">
      <c r="A19" s="5" t="s">
        <v>176</v>
      </c>
      <c r="B19" s="5" t="s">
        <v>177</v>
      </c>
      <c r="C19" s="5" t="s">
        <v>144</v>
      </c>
      <c r="D19" s="6" t="s">
        <v>178</v>
      </c>
      <c r="E19" s="6" t="s">
        <v>179</v>
      </c>
      <c r="F19" s="6" t="s">
        <v>180</v>
      </c>
      <c r="G19" s="6" t="s">
        <v>181</v>
      </c>
      <c r="H19" s="6" t="s">
        <v>182</v>
      </c>
      <c r="I19" s="6" t="s">
        <v>40</v>
      </c>
      <c r="J19" s="5" t="s">
        <v>41</v>
      </c>
      <c r="K19" s="5" t="s">
        <v>150</v>
      </c>
      <c r="L19" s="7" t="n">
        <v>46308</v>
      </c>
      <c r="M19" s="6" t="s">
        <v>183</v>
      </c>
      <c r="N19" s="5" t="s">
        <v>44</v>
      </c>
    </row>
    <row r="20" customFormat="false" ht="23.85" hidden="false" customHeight="false" outlineLevel="0" collapsed="false">
      <c r="A20" s="5" t="s">
        <v>184</v>
      </c>
      <c r="B20" s="5" t="s">
        <v>185</v>
      </c>
      <c r="C20" s="5" t="s">
        <v>144</v>
      </c>
      <c r="D20" s="6" t="s">
        <v>186</v>
      </c>
      <c r="E20" s="6" t="s">
        <v>187</v>
      </c>
      <c r="F20" s="6" t="s">
        <v>188</v>
      </c>
      <c r="G20" s="6" t="s">
        <v>189</v>
      </c>
      <c r="H20" s="6" t="s">
        <v>190</v>
      </c>
      <c r="I20" s="6" t="s">
        <v>40</v>
      </c>
      <c r="J20" s="5" t="s">
        <v>41</v>
      </c>
      <c r="K20" s="5" t="s">
        <v>150</v>
      </c>
      <c r="L20" s="7" t="n">
        <v>46308</v>
      </c>
      <c r="M20" s="6" t="s">
        <v>191</v>
      </c>
      <c r="N20" s="5" t="s">
        <v>44</v>
      </c>
    </row>
    <row r="21" customFormat="false" ht="23.85" hidden="false" customHeight="false" outlineLevel="0" collapsed="false">
      <c r="A21" s="5" t="s">
        <v>192</v>
      </c>
      <c r="B21" s="5" t="s">
        <v>193</v>
      </c>
      <c r="C21" s="5" t="s">
        <v>144</v>
      </c>
      <c r="D21" s="6" t="s">
        <v>194</v>
      </c>
      <c r="E21" s="6" t="s">
        <v>195</v>
      </c>
      <c r="F21" s="6" t="s">
        <v>196</v>
      </c>
      <c r="G21" s="6" t="s">
        <v>197</v>
      </c>
      <c r="H21" s="6" t="s">
        <v>198</v>
      </c>
      <c r="I21" s="6" t="s">
        <v>40</v>
      </c>
      <c r="J21" s="5" t="s">
        <v>41</v>
      </c>
      <c r="K21" s="5" t="s">
        <v>150</v>
      </c>
      <c r="L21" s="7" t="n">
        <v>46308</v>
      </c>
      <c r="M21" s="6" t="s">
        <v>199</v>
      </c>
      <c r="N21" s="5" t="s">
        <v>44</v>
      </c>
    </row>
    <row r="22" customFormat="false" ht="23.85" hidden="false" customHeight="false" outlineLevel="0" collapsed="false">
      <c r="A22" s="5" t="s">
        <v>200</v>
      </c>
      <c r="B22" s="5" t="s">
        <v>201</v>
      </c>
      <c r="C22" s="5" t="s">
        <v>202</v>
      </c>
      <c r="D22" s="6" t="s">
        <v>203</v>
      </c>
      <c r="E22" s="6" t="s">
        <v>204</v>
      </c>
      <c r="F22" s="6" t="s">
        <v>205</v>
      </c>
      <c r="G22" s="6" t="s">
        <v>206</v>
      </c>
      <c r="H22" s="6" t="s">
        <v>207</v>
      </c>
      <c r="I22" s="6" t="s">
        <v>40</v>
      </c>
      <c r="J22" s="5" t="s">
        <v>41</v>
      </c>
      <c r="K22" s="5" t="s">
        <v>208</v>
      </c>
      <c r="L22" s="7" t="n">
        <v>46308</v>
      </c>
      <c r="M22" s="6" t="s">
        <v>209</v>
      </c>
      <c r="N22" s="5" t="s">
        <v>44</v>
      </c>
    </row>
    <row r="23" customFormat="false" ht="23.85" hidden="false" customHeight="false" outlineLevel="0" collapsed="false">
      <c r="A23" s="5" t="s">
        <v>210</v>
      </c>
      <c r="B23" s="5" t="s">
        <v>211</v>
      </c>
      <c r="C23" s="5" t="s">
        <v>202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5" t="s">
        <v>61</v>
      </c>
      <c r="K23" s="5" t="s">
        <v>218</v>
      </c>
      <c r="L23" s="7"/>
      <c r="M23" s="6" t="s">
        <v>63</v>
      </c>
      <c r="N23" s="5" t="s">
        <v>44</v>
      </c>
    </row>
    <row r="24" customFormat="false" ht="23.85" hidden="false" customHeight="false" outlineLevel="0" collapsed="false">
      <c r="A24" s="5" t="s">
        <v>219</v>
      </c>
      <c r="B24" s="5" t="s">
        <v>220</v>
      </c>
      <c r="C24" s="5" t="s">
        <v>202</v>
      </c>
      <c r="D24" s="6" t="s">
        <v>221</v>
      </c>
      <c r="E24" s="6" t="s">
        <v>222</v>
      </c>
      <c r="F24" s="6" t="s">
        <v>223</v>
      </c>
      <c r="G24" s="6" t="s">
        <v>224</v>
      </c>
      <c r="H24" s="6" t="s">
        <v>225</v>
      </c>
      <c r="I24" s="6" t="s">
        <v>40</v>
      </c>
      <c r="J24" s="5" t="s">
        <v>41</v>
      </c>
      <c r="K24" s="5" t="s">
        <v>208</v>
      </c>
      <c r="L24" s="7" t="n">
        <v>46308</v>
      </c>
      <c r="M24" s="6" t="s">
        <v>226</v>
      </c>
      <c r="N24" s="5" t="s">
        <v>44</v>
      </c>
    </row>
    <row r="25" customFormat="false" ht="23.85" hidden="false" customHeight="false" outlineLevel="0" collapsed="false">
      <c r="A25" s="5" t="s">
        <v>227</v>
      </c>
      <c r="B25" s="5" t="s">
        <v>228</v>
      </c>
      <c r="C25" s="5" t="s">
        <v>202</v>
      </c>
      <c r="D25" s="6" t="s">
        <v>229</v>
      </c>
      <c r="E25" s="6" t="s">
        <v>230</v>
      </c>
      <c r="F25" s="6" t="s">
        <v>231</v>
      </c>
      <c r="G25" s="6" t="s">
        <v>232</v>
      </c>
      <c r="H25" s="6" t="s">
        <v>233</v>
      </c>
      <c r="I25" s="6" t="s">
        <v>40</v>
      </c>
      <c r="J25" s="5" t="s">
        <v>41</v>
      </c>
      <c r="K25" s="5" t="s">
        <v>208</v>
      </c>
      <c r="L25" s="7" t="n">
        <v>46308</v>
      </c>
      <c r="M25" s="6" t="s">
        <v>234</v>
      </c>
      <c r="N25" s="5" t="s">
        <v>44</v>
      </c>
    </row>
    <row r="26" customFormat="false" ht="23.85" hidden="false" customHeight="false" outlineLevel="0" collapsed="false">
      <c r="A26" s="5" t="s">
        <v>235</v>
      </c>
      <c r="B26" s="5" t="s">
        <v>236</v>
      </c>
      <c r="C26" s="5" t="s">
        <v>202</v>
      </c>
      <c r="D26" s="6" t="s">
        <v>237</v>
      </c>
      <c r="E26" s="6" t="s">
        <v>238</v>
      </c>
      <c r="F26" s="6" t="s">
        <v>239</v>
      </c>
      <c r="G26" s="6" t="s">
        <v>240</v>
      </c>
      <c r="H26" s="6" t="s">
        <v>241</v>
      </c>
      <c r="I26" s="6" t="s">
        <v>40</v>
      </c>
      <c r="J26" s="5" t="s">
        <v>41</v>
      </c>
      <c r="K26" s="5" t="s">
        <v>208</v>
      </c>
      <c r="L26" s="7" t="n">
        <v>46308</v>
      </c>
      <c r="M26" s="6" t="s">
        <v>242</v>
      </c>
      <c r="N26" s="5" t="s">
        <v>44</v>
      </c>
    </row>
    <row r="27" customFormat="false" ht="23.85" hidden="false" customHeight="false" outlineLevel="0" collapsed="false">
      <c r="A27" s="5" t="s">
        <v>243</v>
      </c>
      <c r="B27" s="5" t="s">
        <v>244</v>
      </c>
      <c r="C27" s="5" t="s">
        <v>202</v>
      </c>
      <c r="D27" s="6" t="s">
        <v>245</v>
      </c>
      <c r="E27" s="6" t="s">
        <v>246</v>
      </c>
      <c r="F27" s="6" t="s">
        <v>247</v>
      </c>
      <c r="G27" s="6" t="s">
        <v>248</v>
      </c>
      <c r="H27" s="6" t="s">
        <v>249</v>
      </c>
      <c r="I27" s="6" t="s">
        <v>40</v>
      </c>
      <c r="J27" s="5" t="s">
        <v>41</v>
      </c>
      <c r="K27" s="5" t="s">
        <v>208</v>
      </c>
      <c r="L27" s="7" t="n">
        <v>46308</v>
      </c>
      <c r="M27" s="6" t="s">
        <v>250</v>
      </c>
      <c r="N27" s="5" t="s">
        <v>44</v>
      </c>
    </row>
    <row r="28" customFormat="false" ht="23.85" hidden="false" customHeight="false" outlineLevel="0" collapsed="false">
      <c r="A28" s="5" t="s">
        <v>251</v>
      </c>
      <c r="B28" s="5" t="s">
        <v>252</v>
      </c>
      <c r="C28" s="5" t="s">
        <v>202</v>
      </c>
      <c r="D28" s="6" t="s">
        <v>253</v>
      </c>
      <c r="E28" s="6" t="s">
        <v>254</v>
      </c>
      <c r="F28" s="6" t="s">
        <v>255</v>
      </c>
      <c r="G28" s="6" t="s">
        <v>256</v>
      </c>
      <c r="H28" s="6" t="s">
        <v>257</v>
      </c>
      <c r="I28" s="6" t="s">
        <v>60</v>
      </c>
      <c r="J28" s="5" t="s">
        <v>61</v>
      </c>
      <c r="K28" s="5" t="s">
        <v>218</v>
      </c>
      <c r="L28" s="7"/>
      <c r="M28" s="6" t="s">
        <v>63</v>
      </c>
      <c r="N28" s="5" t="s">
        <v>44</v>
      </c>
    </row>
    <row r="29" customFormat="false" ht="23.85" hidden="false" customHeight="false" outlineLevel="0" collapsed="false">
      <c r="A29" s="5" t="s">
        <v>258</v>
      </c>
      <c r="B29" s="5" t="s">
        <v>259</v>
      </c>
      <c r="C29" s="5" t="s">
        <v>202</v>
      </c>
      <c r="D29" s="6" t="s">
        <v>260</v>
      </c>
      <c r="E29" s="6" t="s">
        <v>261</v>
      </c>
      <c r="F29" s="6" t="s">
        <v>262</v>
      </c>
      <c r="G29" s="6" t="s">
        <v>263</v>
      </c>
      <c r="H29" s="6" t="s">
        <v>264</v>
      </c>
      <c r="I29" s="6" t="s">
        <v>40</v>
      </c>
      <c r="J29" s="5" t="s">
        <v>41</v>
      </c>
      <c r="K29" s="5" t="s">
        <v>208</v>
      </c>
      <c r="L29" s="7" t="n">
        <v>46308</v>
      </c>
      <c r="M29" s="6" t="s">
        <v>265</v>
      </c>
      <c r="N29" s="5" t="s">
        <v>44</v>
      </c>
    </row>
    <row r="30" customFormat="false" ht="23.85" hidden="false" customHeight="false" outlineLevel="0" collapsed="false">
      <c r="A30" s="5" t="s">
        <v>266</v>
      </c>
      <c r="B30" s="5" t="s">
        <v>267</v>
      </c>
      <c r="C30" s="5" t="s">
        <v>202</v>
      </c>
      <c r="D30" s="6" t="s">
        <v>268</v>
      </c>
      <c r="E30" s="6" t="s">
        <v>269</v>
      </c>
      <c r="F30" s="6" t="s">
        <v>270</v>
      </c>
      <c r="G30" s="6" t="s">
        <v>271</v>
      </c>
      <c r="H30" s="6" t="s">
        <v>272</v>
      </c>
      <c r="I30" s="6" t="s">
        <v>40</v>
      </c>
      <c r="J30" s="5" t="s">
        <v>41</v>
      </c>
      <c r="K30" s="5" t="s">
        <v>208</v>
      </c>
      <c r="L30" s="7" t="n">
        <v>46308</v>
      </c>
      <c r="M30" s="6" t="s">
        <v>273</v>
      </c>
      <c r="N30" s="5" t="s">
        <v>44</v>
      </c>
    </row>
    <row r="31" customFormat="false" ht="23.85" hidden="false" customHeight="false" outlineLevel="0" collapsed="false">
      <c r="A31" s="5" t="s">
        <v>274</v>
      </c>
      <c r="B31" s="5" t="s">
        <v>275</v>
      </c>
      <c r="C31" s="5" t="s">
        <v>202</v>
      </c>
      <c r="D31" s="6" t="s">
        <v>276</v>
      </c>
      <c r="E31" s="6" t="s">
        <v>277</v>
      </c>
      <c r="F31" s="6" t="s">
        <v>278</v>
      </c>
      <c r="G31" s="6" t="s">
        <v>279</v>
      </c>
      <c r="H31" s="6" t="s">
        <v>280</v>
      </c>
      <c r="I31" s="6" t="s">
        <v>60</v>
      </c>
      <c r="J31" s="5" t="s">
        <v>61</v>
      </c>
      <c r="K31" s="5" t="s">
        <v>218</v>
      </c>
      <c r="L31" s="7"/>
      <c r="M31" s="6" t="s">
        <v>63</v>
      </c>
      <c r="N31" s="5" t="s">
        <v>44</v>
      </c>
    </row>
    <row r="32" customFormat="false" ht="23.85" hidden="false" customHeight="false" outlineLevel="0" collapsed="false">
      <c r="A32" s="5" t="s">
        <v>281</v>
      </c>
      <c r="B32" s="5" t="s">
        <v>282</v>
      </c>
      <c r="C32" s="5" t="s">
        <v>202</v>
      </c>
      <c r="D32" s="6" t="s">
        <v>283</v>
      </c>
      <c r="E32" s="6" t="s">
        <v>284</v>
      </c>
      <c r="F32" s="6" t="s">
        <v>285</v>
      </c>
      <c r="G32" s="6" t="s">
        <v>286</v>
      </c>
      <c r="H32" s="6" t="s">
        <v>287</v>
      </c>
      <c r="I32" s="6" t="s">
        <v>40</v>
      </c>
      <c r="J32" s="5" t="s">
        <v>41</v>
      </c>
      <c r="K32" s="5" t="s">
        <v>208</v>
      </c>
      <c r="L32" s="7" t="n">
        <v>46308</v>
      </c>
      <c r="M32" s="6" t="s">
        <v>288</v>
      </c>
      <c r="N32" s="5" t="s">
        <v>44</v>
      </c>
    </row>
    <row r="33" customFormat="false" ht="23.85" hidden="false" customHeight="false" outlineLevel="0" collapsed="false">
      <c r="A33" s="5" t="s">
        <v>289</v>
      </c>
      <c r="B33" s="5" t="s">
        <v>290</v>
      </c>
      <c r="C33" s="5" t="s">
        <v>202</v>
      </c>
      <c r="D33" s="6" t="s">
        <v>291</v>
      </c>
      <c r="E33" s="6" t="s">
        <v>292</v>
      </c>
      <c r="F33" s="6" t="s">
        <v>293</v>
      </c>
      <c r="G33" s="6" t="s">
        <v>294</v>
      </c>
      <c r="H33" s="6" t="s">
        <v>295</v>
      </c>
      <c r="I33" s="6" t="s">
        <v>40</v>
      </c>
      <c r="J33" s="5" t="s">
        <v>41</v>
      </c>
      <c r="K33" s="5" t="s">
        <v>208</v>
      </c>
      <c r="L33" s="7" t="n">
        <v>46308</v>
      </c>
      <c r="M33" s="6" t="s">
        <v>296</v>
      </c>
      <c r="N33" s="5" t="s">
        <v>44</v>
      </c>
    </row>
    <row r="34" customFormat="false" ht="23.85" hidden="false" customHeight="false" outlineLevel="0" collapsed="false">
      <c r="A34" s="5" t="s">
        <v>297</v>
      </c>
      <c r="B34" s="5" t="s">
        <v>298</v>
      </c>
      <c r="C34" s="5" t="s">
        <v>202</v>
      </c>
      <c r="D34" s="6" t="s">
        <v>299</v>
      </c>
      <c r="E34" s="6" t="s">
        <v>300</v>
      </c>
      <c r="F34" s="6" t="s">
        <v>301</v>
      </c>
      <c r="G34" s="6" t="s">
        <v>302</v>
      </c>
      <c r="H34" s="6" t="s">
        <v>303</v>
      </c>
      <c r="I34" s="6" t="s">
        <v>40</v>
      </c>
      <c r="J34" s="5" t="s">
        <v>41</v>
      </c>
      <c r="K34" s="5" t="s">
        <v>208</v>
      </c>
      <c r="L34" s="7" t="n">
        <v>46308</v>
      </c>
      <c r="M34" s="6" t="s">
        <v>304</v>
      </c>
      <c r="N34" s="5" t="s">
        <v>44</v>
      </c>
    </row>
    <row r="35" customFormat="false" ht="23.85" hidden="false" customHeight="false" outlineLevel="0" collapsed="false">
      <c r="A35" s="5" t="s">
        <v>305</v>
      </c>
      <c r="B35" s="5" t="s">
        <v>306</v>
      </c>
      <c r="C35" s="5" t="s">
        <v>202</v>
      </c>
      <c r="D35" s="6" t="s">
        <v>307</v>
      </c>
      <c r="E35" s="6" t="s">
        <v>308</v>
      </c>
      <c r="F35" s="6" t="s">
        <v>309</v>
      </c>
      <c r="G35" s="6" t="s">
        <v>310</v>
      </c>
      <c r="H35" s="6" t="s">
        <v>311</v>
      </c>
      <c r="I35" s="6" t="s">
        <v>40</v>
      </c>
      <c r="J35" s="5" t="s">
        <v>41</v>
      </c>
      <c r="K35" s="5" t="s">
        <v>208</v>
      </c>
      <c r="L35" s="7" t="n">
        <v>46308</v>
      </c>
      <c r="M35" s="6" t="s">
        <v>312</v>
      </c>
      <c r="N35" s="5" t="s">
        <v>44</v>
      </c>
    </row>
    <row r="36" customFormat="false" ht="23.85" hidden="false" customHeight="false" outlineLevel="0" collapsed="false">
      <c r="A36" s="5" t="s">
        <v>313</v>
      </c>
      <c r="B36" s="5" t="s">
        <v>314</v>
      </c>
      <c r="C36" s="5" t="s">
        <v>202</v>
      </c>
      <c r="D36" s="6" t="s">
        <v>315</v>
      </c>
      <c r="E36" s="6" t="s">
        <v>316</v>
      </c>
      <c r="F36" s="6" t="s">
        <v>317</v>
      </c>
      <c r="G36" s="6" t="s">
        <v>318</v>
      </c>
      <c r="H36" s="6" t="s">
        <v>319</v>
      </c>
      <c r="I36" s="6" t="s">
        <v>40</v>
      </c>
      <c r="J36" s="5" t="s">
        <v>41</v>
      </c>
      <c r="K36" s="5" t="s">
        <v>208</v>
      </c>
      <c r="L36" s="7" t="n">
        <v>46308</v>
      </c>
      <c r="M36" s="6" t="s">
        <v>320</v>
      </c>
      <c r="N36" s="5" t="s">
        <v>44</v>
      </c>
    </row>
    <row r="37" customFormat="false" ht="23.85" hidden="false" customHeight="false" outlineLevel="0" collapsed="false">
      <c r="A37" s="5" t="s">
        <v>321</v>
      </c>
      <c r="B37" s="5" t="s">
        <v>322</v>
      </c>
      <c r="C37" s="5" t="s">
        <v>202</v>
      </c>
      <c r="D37" s="6" t="s">
        <v>323</v>
      </c>
      <c r="E37" s="6" t="s">
        <v>324</v>
      </c>
      <c r="F37" s="6" t="s">
        <v>325</v>
      </c>
      <c r="G37" s="6" t="s">
        <v>326</v>
      </c>
      <c r="H37" s="6" t="s">
        <v>327</v>
      </c>
      <c r="I37" s="6" t="s">
        <v>328</v>
      </c>
      <c r="J37" s="5" t="s">
        <v>61</v>
      </c>
      <c r="K37" s="5" t="s">
        <v>218</v>
      </c>
      <c r="L37" s="7"/>
      <c r="M37" s="6" t="s">
        <v>63</v>
      </c>
      <c r="N37" s="5" t="s">
        <v>44</v>
      </c>
    </row>
    <row r="38" customFormat="false" ht="23.85" hidden="false" customHeight="false" outlineLevel="0" collapsed="false">
      <c r="A38" s="5" t="s">
        <v>329</v>
      </c>
      <c r="B38" s="5" t="s">
        <v>330</v>
      </c>
      <c r="C38" s="5" t="s">
        <v>202</v>
      </c>
      <c r="D38" s="6" t="s">
        <v>331</v>
      </c>
      <c r="E38" s="6" t="s">
        <v>332</v>
      </c>
      <c r="F38" s="6" t="s">
        <v>333</v>
      </c>
      <c r="G38" s="6" t="s">
        <v>334</v>
      </c>
      <c r="H38" s="6" t="s">
        <v>335</v>
      </c>
      <c r="I38" s="6" t="s">
        <v>40</v>
      </c>
      <c r="J38" s="5" t="s">
        <v>41</v>
      </c>
      <c r="K38" s="5" t="s">
        <v>208</v>
      </c>
      <c r="L38" s="7" t="n">
        <v>46308</v>
      </c>
      <c r="M38" s="6" t="s">
        <v>336</v>
      </c>
      <c r="N38" s="5" t="s">
        <v>44</v>
      </c>
    </row>
    <row r="39" customFormat="false" ht="23.85" hidden="false" customHeight="false" outlineLevel="0" collapsed="false">
      <c r="A39" s="5" t="s">
        <v>337</v>
      </c>
      <c r="B39" s="5" t="s">
        <v>338</v>
      </c>
      <c r="C39" s="5" t="s">
        <v>339</v>
      </c>
      <c r="D39" s="6" t="s">
        <v>340</v>
      </c>
      <c r="E39" s="6" t="s">
        <v>341</v>
      </c>
      <c r="F39" s="6" t="s">
        <v>342</v>
      </c>
      <c r="G39" s="6" t="s">
        <v>343</v>
      </c>
      <c r="H39" s="6" t="s">
        <v>344</v>
      </c>
      <c r="I39" s="6" t="s">
        <v>40</v>
      </c>
      <c r="J39" s="5" t="s">
        <v>41</v>
      </c>
      <c r="K39" s="5" t="s">
        <v>345</v>
      </c>
      <c r="L39" s="7" t="n">
        <v>46308</v>
      </c>
      <c r="M39" s="6" t="s">
        <v>346</v>
      </c>
      <c r="N39" s="5" t="s">
        <v>44</v>
      </c>
    </row>
    <row r="40" customFormat="false" ht="23.85" hidden="false" customHeight="false" outlineLevel="0" collapsed="false">
      <c r="A40" s="5" t="s">
        <v>347</v>
      </c>
      <c r="B40" s="5" t="s">
        <v>348</v>
      </c>
      <c r="C40" s="5" t="s">
        <v>339</v>
      </c>
      <c r="D40" s="6" t="s">
        <v>349</v>
      </c>
      <c r="E40" s="6" t="s">
        <v>171</v>
      </c>
      <c r="F40" s="6" t="s">
        <v>350</v>
      </c>
      <c r="G40" s="6" t="s">
        <v>351</v>
      </c>
      <c r="H40" s="6" t="s">
        <v>352</v>
      </c>
      <c r="I40" s="6" t="s">
        <v>40</v>
      </c>
      <c r="J40" s="5" t="s">
        <v>41</v>
      </c>
      <c r="K40" s="5" t="s">
        <v>345</v>
      </c>
      <c r="L40" s="7" t="n">
        <v>46308</v>
      </c>
      <c r="M40" s="6" t="s">
        <v>353</v>
      </c>
      <c r="N40" s="5" t="s">
        <v>44</v>
      </c>
    </row>
    <row r="41" customFormat="false" ht="23.85" hidden="false" customHeight="false" outlineLevel="0" collapsed="false">
      <c r="A41" s="5" t="s">
        <v>354</v>
      </c>
      <c r="B41" s="5" t="s">
        <v>355</v>
      </c>
      <c r="C41" s="5" t="s">
        <v>339</v>
      </c>
      <c r="D41" s="6" t="s">
        <v>356</v>
      </c>
      <c r="E41" s="6" t="s">
        <v>357</v>
      </c>
      <c r="F41" s="6" t="s">
        <v>358</v>
      </c>
      <c r="G41" s="6" t="s">
        <v>359</v>
      </c>
      <c r="H41" s="6" t="s">
        <v>360</v>
      </c>
      <c r="I41" s="6" t="s">
        <v>40</v>
      </c>
      <c r="J41" s="5" t="s">
        <v>41</v>
      </c>
      <c r="K41" s="5" t="s">
        <v>345</v>
      </c>
      <c r="L41" s="7" t="n">
        <v>46308</v>
      </c>
      <c r="M41" s="6" t="s">
        <v>361</v>
      </c>
      <c r="N41" s="5" t="s">
        <v>44</v>
      </c>
    </row>
    <row r="42" customFormat="false" ht="23.85" hidden="false" customHeight="false" outlineLevel="0" collapsed="false">
      <c r="A42" s="5" t="s">
        <v>362</v>
      </c>
      <c r="B42" s="5" t="s">
        <v>363</v>
      </c>
      <c r="C42" s="5" t="s">
        <v>339</v>
      </c>
      <c r="D42" s="6" t="s">
        <v>364</v>
      </c>
      <c r="E42" s="6" t="s">
        <v>365</v>
      </c>
      <c r="F42" s="6" t="s">
        <v>366</v>
      </c>
      <c r="G42" s="6" t="s">
        <v>367</v>
      </c>
      <c r="H42" s="6" t="s">
        <v>368</v>
      </c>
      <c r="I42" s="6" t="s">
        <v>40</v>
      </c>
      <c r="J42" s="5" t="s">
        <v>41</v>
      </c>
      <c r="K42" s="5" t="s">
        <v>345</v>
      </c>
      <c r="L42" s="7" t="n">
        <v>46308</v>
      </c>
      <c r="M42" s="6" t="s">
        <v>369</v>
      </c>
      <c r="N42" s="5" t="s">
        <v>44</v>
      </c>
    </row>
    <row r="43" customFormat="false" ht="23.85" hidden="false" customHeight="false" outlineLevel="0" collapsed="false">
      <c r="A43" s="5" t="s">
        <v>370</v>
      </c>
      <c r="B43" s="5" t="s">
        <v>371</v>
      </c>
      <c r="C43" s="5" t="s">
        <v>339</v>
      </c>
      <c r="D43" s="6" t="s">
        <v>372</v>
      </c>
      <c r="E43" s="6" t="s">
        <v>332</v>
      </c>
      <c r="F43" s="6" t="s">
        <v>373</v>
      </c>
      <c r="G43" s="6" t="s">
        <v>374</v>
      </c>
      <c r="H43" s="6" t="s">
        <v>375</v>
      </c>
      <c r="I43" s="6" t="s">
        <v>40</v>
      </c>
      <c r="J43" s="5" t="s">
        <v>41</v>
      </c>
      <c r="K43" s="5" t="s">
        <v>345</v>
      </c>
      <c r="L43" s="7" t="n">
        <v>46308</v>
      </c>
      <c r="M43" s="6" t="s">
        <v>376</v>
      </c>
      <c r="N43" s="5" t="s">
        <v>44</v>
      </c>
    </row>
    <row r="44" customFormat="false" ht="23.85" hidden="false" customHeight="false" outlineLevel="0" collapsed="false">
      <c r="A44" s="5" t="s">
        <v>377</v>
      </c>
      <c r="B44" s="5" t="s">
        <v>378</v>
      </c>
      <c r="C44" s="5" t="s">
        <v>339</v>
      </c>
      <c r="D44" s="6" t="s">
        <v>379</v>
      </c>
      <c r="E44" s="6" t="s">
        <v>380</v>
      </c>
      <c r="F44" s="6" t="s">
        <v>381</v>
      </c>
      <c r="G44" s="6" t="s">
        <v>382</v>
      </c>
      <c r="H44" s="6" t="s">
        <v>383</v>
      </c>
      <c r="I44" s="6" t="s">
        <v>60</v>
      </c>
      <c r="J44" s="5" t="s">
        <v>61</v>
      </c>
      <c r="K44" s="5" t="s">
        <v>384</v>
      </c>
      <c r="L44" s="7"/>
      <c r="M44" s="6" t="s">
        <v>63</v>
      </c>
      <c r="N44" s="5" t="s">
        <v>44</v>
      </c>
    </row>
    <row r="45" customFormat="false" ht="23.85" hidden="false" customHeight="false" outlineLevel="0" collapsed="false">
      <c r="A45" s="5" t="s">
        <v>385</v>
      </c>
      <c r="B45" s="5" t="s">
        <v>386</v>
      </c>
      <c r="C45" s="5" t="s">
        <v>339</v>
      </c>
      <c r="D45" s="6" t="s">
        <v>387</v>
      </c>
      <c r="E45" s="6" t="s">
        <v>388</v>
      </c>
      <c r="F45" s="6" t="s">
        <v>389</v>
      </c>
      <c r="G45" s="6" t="s">
        <v>390</v>
      </c>
      <c r="H45" s="6" t="s">
        <v>391</v>
      </c>
      <c r="I45" s="6" t="s">
        <v>60</v>
      </c>
      <c r="J45" s="5" t="s">
        <v>61</v>
      </c>
      <c r="K45" s="5" t="s">
        <v>384</v>
      </c>
      <c r="L45" s="7"/>
      <c r="M45" s="6" t="s">
        <v>63</v>
      </c>
      <c r="N45" s="5" t="s">
        <v>44</v>
      </c>
    </row>
    <row r="46" customFormat="false" ht="23.85" hidden="false" customHeight="false" outlineLevel="0" collapsed="false">
      <c r="A46" s="5" t="s">
        <v>392</v>
      </c>
      <c r="B46" s="5" t="s">
        <v>393</v>
      </c>
      <c r="C46" s="5" t="s">
        <v>339</v>
      </c>
      <c r="D46" s="6" t="s">
        <v>394</v>
      </c>
      <c r="E46" s="6" t="s">
        <v>395</v>
      </c>
      <c r="F46" s="6" t="s">
        <v>396</v>
      </c>
      <c r="G46" s="6" t="s">
        <v>397</v>
      </c>
      <c r="H46" s="6" t="s">
        <v>398</v>
      </c>
      <c r="I46" s="6" t="s">
        <v>399</v>
      </c>
      <c r="J46" s="5" t="s">
        <v>61</v>
      </c>
      <c r="K46" s="5" t="s">
        <v>384</v>
      </c>
      <c r="L46" s="7"/>
      <c r="M46" s="6" t="s">
        <v>63</v>
      </c>
      <c r="N46" s="5" t="s">
        <v>44</v>
      </c>
    </row>
    <row r="47" customFormat="false" ht="23.85" hidden="false" customHeight="false" outlineLevel="0" collapsed="false">
      <c r="A47" s="5" t="s">
        <v>400</v>
      </c>
      <c r="B47" s="5" t="s">
        <v>401</v>
      </c>
      <c r="C47" s="5" t="s">
        <v>339</v>
      </c>
      <c r="D47" s="6" t="s">
        <v>402</v>
      </c>
      <c r="E47" s="6" t="s">
        <v>403</v>
      </c>
      <c r="F47" s="6" t="s">
        <v>404</v>
      </c>
      <c r="G47" s="6" t="s">
        <v>405</v>
      </c>
      <c r="H47" s="6" t="s">
        <v>406</v>
      </c>
      <c r="I47" s="6" t="s">
        <v>40</v>
      </c>
      <c r="J47" s="5" t="s">
        <v>41</v>
      </c>
      <c r="K47" s="5" t="s">
        <v>345</v>
      </c>
      <c r="L47" s="7" t="n">
        <v>46308</v>
      </c>
      <c r="M47" s="6" t="s">
        <v>407</v>
      </c>
      <c r="N47" s="5" t="s">
        <v>44</v>
      </c>
    </row>
    <row r="48" customFormat="false" ht="23.85" hidden="false" customHeight="false" outlineLevel="0" collapsed="false">
      <c r="A48" s="5" t="s">
        <v>408</v>
      </c>
      <c r="B48" s="5" t="s">
        <v>409</v>
      </c>
      <c r="C48" s="5" t="s">
        <v>339</v>
      </c>
      <c r="D48" s="6" t="s">
        <v>410</v>
      </c>
      <c r="E48" s="6" t="s">
        <v>411</v>
      </c>
      <c r="F48" s="6" t="s">
        <v>412</v>
      </c>
      <c r="G48" s="6" t="s">
        <v>413</v>
      </c>
      <c r="H48" s="6" t="s">
        <v>414</v>
      </c>
      <c r="I48" s="6" t="s">
        <v>40</v>
      </c>
      <c r="J48" s="5" t="s">
        <v>41</v>
      </c>
      <c r="K48" s="5" t="s">
        <v>345</v>
      </c>
      <c r="L48" s="7" t="n">
        <v>46308</v>
      </c>
      <c r="M48" s="6" t="s">
        <v>415</v>
      </c>
      <c r="N48" s="5" t="s">
        <v>44</v>
      </c>
    </row>
    <row r="49" customFormat="false" ht="23.85" hidden="false" customHeight="false" outlineLevel="0" collapsed="false">
      <c r="A49" s="5" t="s">
        <v>416</v>
      </c>
      <c r="B49" s="5" t="s">
        <v>417</v>
      </c>
      <c r="C49" s="5" t="s">
        <v>339</v>
      </c>
      <c r="D49" s="6" t="s">
        <v>418</v>
      </c>
      <c r="E49" s="6" t="s">
        <v>419</v>
      </c>
      <c r="F49" s="6" t="s">
        <v>420</v>
      </c>
      <c r="G49" s="6" t="s">
        <v>421</v>
      </c>
      <c r="H49" s="6" t="s">
        <v>422</v>
      </c>
      <c r="I49" s="6" t="s">
        <v>217</v>
      </c>
      <c r="J49" s="5" t="s">
        <v>61</v>
      </c>
      <c r="K49" s="5" t="s">
        <v>384</v>
      </c>
      <c r="L49" s="7"/>
      <c r="M49" s="6" t="s">
        <v>63</v>
      </c>
      <c r="N49" s="5" t="s">
        <v>44</v>
      </c>
    </row>
    <row r="50" customFormat="false" ht="23.85" hidden="false" customHeight="false" outlineLevel="0" collapsed="false">
      <c r="A50" s="5" t="s">
        <v>423</v>
      </c>
      <c r="B50" s="5" t="s">
        <v>424</v>
      </c>
      <c r="C50" s="5" t="s">
        <v>339</v>
      </c>
      <c r="D50" s="6" t="s">
        <v>425</v>
      </c>
      <c r="E50" s="6" t="s">
        <v>426</v>
      </c>
      <c r="F50" s="6" t="s">
        <v>427</v>
      </c>
      <c r="G50" s="6" t="s">
        <v>428</v>
      </c>
      <c r="H50" s="6" t="s">
        <v>429</v>
      </c>
      <c r="I50" s="6" t="s">
        <v>430</v>
      </c>
      <c r="J50" s="5" t="s">
        <v>61</v>
      </c>
      <c r="K50" s="5" t="s">
        <v>384</v>
      </c>
      <c r="L50" s="7"/>
      <c r="M50" s="6" t="s">
        <v>63</v>
      </c>
      <c r="N50" s="5" t="s">
        <v>44</v>
      </c>
    </row>
    <row r="51" customFormat="false" ht="23.85" hidden="false" customHeight="false" outlineLevel="0" collapsed="false">
      <c r="A51" s="5" t="s">
        <v>431</v>
      </c>
      <c r="B51" s="5" t="s">
        <v>432</v>
      </c>
      <c r="C51" s="5" t="s">
        <v>433</v>
      </c>
      <c r="D51" s="6" t="s">
        <v>434</v>
      </c>
      <c r="E51" s="6" t="s">
        <v>435</v>
      </c>
      <c r="F51" s="6" t="s">
        <v>436</v>
      </c>
      <c r="G51" s="6" t="s">
        <v>437</v>
      </c>
      <c r="H51" s="6" t="s">
        <v>335</v>
      </c>
      <c r="I51" s="6" t="s">
        <v>40</v>
      </c>
      <c r="J51" s="5" t="s">
        <v>41</v>
      </c>
      <c r="K51" s="5" t="s">
        <v>345</v>
      </c>
      <c r="L51" s="7" t="n">
        <v>46308</v>
      </c>
      <c r="M51" s="6" t="s">
        <v>438</v>
      </c>
      <c r="N51" s="5" t="s">
        <v>44</v>
      </c>
    </row>
    <row r="52" customFormat="false" ht="23.85" hidden="false" customHeight="false" outlineLevel="0" collapsed="false">
      <c r="A52" s="5" t="s">
        <v>439</v>
      </c>
      <c r="B52" s="5" t="s">
        <v>440</v>
      </c>
      <c r="C52" s="5" t="s">
        <v>433</v>
      </c>
      <c r="D52" s="6" t="s">
        <v>441</v>
      </c>
      <c r="E52" s="6" t="s">
        <v>442</v>
      </c>
      <c r="F52" s="6" t="s">
        <v>443</v>
      </c>
      <c r="G52" s="6" t="s">
        <v>444</v>
      </c>
      <c r="H52" s="6" t="s">
        <v>445</v>
      </c>
      <c r="I52" s="6" t="s">
        <v>217</v>
      </c>
      <c r="J52" s="5" t="s">
        <v>61</v>
      </c>
      <c r="K52" s="5" t="s">
        <v>384</v>
      </c>
      <c r="L52" s="7"/>
      <c r="M52" s="6" t="s">
        <v>63</v>
      </c>
      <c r="N52" s="5" t="s">
        <v>44</v>
      </c>
    </row>
    <row r="53" customFormat="false" ht="23.85" hidden="false" customHeight="false" outlineLevel="0" collapsed="false">
      <c r="A53" s="5" t="s">
        <v>446</v>
      </c>
      <c r="B53" s="5" t="s">
        <v>447</v>
      </c>
      <c r="C53" s="5" t="s">
        <v>448</v>
      </c>
      <c r="D53" s="6" t="s">
        <v>449</v>
      </c>
      <c r="E53" s="6" t="s">
        <v>450</v>
      </c>
      <c r="F53" s="6" t="s">
        <v>451</v>
      </c>
      <c r="G53" s="6" t="s">
        <v>452</v>
      </c>
      <c r="H53" s="6" t="s">
        <v>453</v>
      </c>
      <c r="I53" s="6" t="s">
        <v>40</v>
      </c>
      <c r="J53" s="5" t="s">
        <v>41</v>
      </c>
      <c r="K53" s="5" t="s">
        <v>42</v>
      </c>
      <c r="L53" s="7" t="n">
        <v>46308</v>
      </c>
      <c r="M53" s="6" t="s">
        <v>454</v>
      </c>
      <c r="N53" s="5" t="s">
        <v>44</v>
      </c>
    </row>
    <row r="54" customFormat="false" ht="23.85" hidden="false" customHeight="false" outlineLevel="0" collapsed="false">
      <c r="A54" s="5" t="s">
        <v>455</v>
      </c>
      <c r="B54" s="5" t="s">
        <v>456</v>
      </c>
      <c r="C54" s="5" t="s">
        <v>448</v>
      </c>
      <c r="D54" s="6" t="s">
        <v>457</v>
      </c>
      <c r="E54" s="6" t="s">
        <v>458</v>
      </c>
      <c r="F54" s="6" t="s">
        <v>459</v>
      </c>
      <c r="G54" s="6" t="s">
        <v>460</v>
      </c>
      <c r="H54" s="6" t="s">
        <v>461</v>
      </c>
      <c r="I54" s="6" t="s">
        <v>40</v>
      </c>
      <c r="J54" s="5" t="s">
        <v>41</v>
      </c>
      <c r="K54" s="5" t="s">
        <v>42</v>
      </c>
      <c r="L54" s="7" t="n">
        <v>46308</v>
      </c>
      <c r="M54" s="6" t="s">
        <v>462</v>
      </c>
      <c r="N54" s="5" t="s">
        <v>44</v>
      </c>
    </row>
    <row r="55" customFormat="false" ht="23.85" hidden="false" customHeight="false" outlineLevel="0" collapsed="false">
      <c r="A55" s="5" t="s">
        <v>463</v>
      </c>
      <c r="B55" s="5" t="s">
        <v>464</v>
      </c>
      <c r="C55" s="5" t="s">
        <v>448</v>
      </c>
      <c r="D55" s="6" t="s">
        <v>465</v>
      </c>
      <c r="E55" s="6" t="s">
        <v>466</v>
      </c>
      <c r="F55" s="6" t="s">
        <v>467</v>
      </c>
      <c r="G55" s="6" t="s">
        <v>468</v>
      </c>
      <c r="H55" s="6" t="s">
        <v>469</v>
      </c>
      <c r="I55" s="6" t="s">
        <v>40</v>
      </c>
      <c r="J55" s="5" t="s">
        <v>41</v>
      </c>
      <c r="K55" s="5" t="s">
        <v>42</v>
      </c>
      <c r="L55" s="7" t="n">
        <v>46308</v>
      </c>
      <c r="M55" s="6" t="s">
        <v>470</v>
      </c>
      <c r="N55" s="5" t="s">
        <v>44</v>
      </c>
    </row>
    <row r="56" customFormat="false" ht="23.85" hidden="false" customHeight="false" outlineLevel="0" collapsed="false">
      <c r="A56" s="5" t="s">
        <v>471</v>
      </c>
      <c r="B56" s="5" t="s">
        <v>472</v>
      </c>
      <c r="C56" s="5" t="s">
        <v>448</v>
      </c>
      <c r="D56" s="6" t="s">
        <v>473</v>
      </c>
      <c r="E56" s="6" t="s">
        <v>474</v>
      </c>
      <c r="F56" s="6" t="s">
        <v>475</v>
      </c>
      <c r="G56" s="6" t="s">
        <v>476</v>
      </c>
      <c r="H56" s="6" t="s">
        <v>477</v>
      </c>
      <c r="I56" s="6" t="s">
        <v>40</v>
      </c>
      <c r="J56" s="5" t="s">
        <v>41</v>
      </c>
      <c r="K56" s="5" t="s">
        <v>42</v>
      </c>
      <c r="L56" s="7" t="n">
        <v>46308</v>
      </c>
      <c r="M56" s="6" t="s">
        <v>478</v>
      </c>
      <c r="N56" s="5" t="s">
        <v>44</v>
      </c>
    </row>
    <row r="57" customFormat="false" ht="23.85" hidden="false" customHeight="false" outlineLevel="0" collapsed="false">
      <c r="A57" s="5" t="s">
        <v>479</v>
      </c>
      <c r="B57" s="5" t="s">
        <v>480</v>
      </c>
      <c r="C57" s="5" t="s">
        <v>448</v>
      </c>
      <c r="D57" s="6" t="s">
        <v>481</v>
      </c>
      <c r="E57" s="6" t="s">
        <v>466</v>
      </c>
      <c r="F57" s="6" t="s">
        <v>482</v>
      </c>
      <c r="G57" s="6" t="s">
        <v>483</v>
      </c>
      <c r="H57" s="6" t="s">
        <v>484</v>
      </c>
      <c r="I57" s="6" t="s">
        <v>40</v>
      </c>
      <c r="J57" s="5" t="s">
        <v>41</v>
      </c>
      <c r="K57" s="5" t="s">
        <v>42</v>
      </c>
      <c r="L57" s="7" t="n">
        <v>46308</v>
      </c>
      <c r="M57" s="6" t="s">
        <v>485</v>
      </c>
      <c r="N57" s="5" t="s">
        <v>44</v>
      </c>
    </row>
    <row r="58" customFormat="false" ht="23.85" hidden="false" customHeight="false" outlineLevel="0" collapsed="false">
      <c r="A58" s="5" t="s">
        <v>486</v>
      </c>
      <c r="B58" s="5" t="s">
        <v>487</v>
      </c>
      <c r="C58" s="5" t="s">
        <v>448</v>
      </c>
      <c r="D58" s="6" t="s">
        <v>488</v>
      </c>
      <c r="E58" s="6" t="s">
        <v>489</v>
      </c>
      <c r="F58" s="6" t="s">
        <v>490</v>
      </c>
      <c r="G58" s="6" t="s">
        <v>491</v>
      </c>
      <c r="H58" s="6" t="s">
        <v>492</v>
      </c>
      <c r="I58" s="6" t="s">
        <v>40</v>
      </c>
      <c r="J58" s="5" t="s">
        <v>41</v>
      </c>
      <c r="K58" s="5" t="s">
        <v>42</v>
      </c>
      <c r="L58" s="7" t="n">
        <v>46308</v>
      </c>
      <c r="M58" s="6" t="s">
        <v>493</v>
      </c>
      <c r="N58" s="5" t="s">
        <v>44</v>
      </c>
    </row>
    <row r="59" customFormat="false" ht="23.85" hidden="false" customHeight="false" outlineLevel="0" collapsed="false">
      <c r="A59" s="5" t="s">
        <v>494</v>
      </c>
      <c r="B59" s="5" t="s">
        <v>495</v>
      </c>
      <c r="C59" s="5" t="s">
        <v>448</v>
      </c>
      <c r="D59" s="6" t="s">
        <v>496</v>
      </c>
      <c r="E59" s="6" t="s">
        <v>497</v>
      </c>
      <c r="F59" s="6" t="s">
        <v>498</v>
      </c>
      <c r="G59" s="6" t="s">
        <v>499</v>
      </c>
      <c r="H59" s="6" t="s">
        <v>500</v>
      </c>
      <c r="I59" s="6" t="s">
        <v>40</v>
      </c>
      <c r="J59" s="5" t="s">
        <v>41</v>
      </c>
      <c r="K59" s="5" t="s">
        <v>42</v>
      </c>
      <c r="L59" s="7" t="n">
        <v>46308</v>
      </c>
      <c r="M59" s="6" t="s">
        <v>501</v>
      </c>
      <c r="N59" s="5" t="s">
        <v>44</v>
      </c>
    </row>
    <row r="60" customFormat="false" ht="23.85" hidden="false" customHeight="false" outlineLevel="0" collapsed="false">
      <c r="A60" s="5" t="s">
        <v>502</v>
      </c>
      <c r="B60" s="5" t="s">
        <v>503</v>
      </c>
      <c r="C60" s="5" t="s">
        <v>448</v>
      </c>
      <c r="D60" s="6" t="s">
        <v>504</v>
      </c>
      <c r="E60" s="6" t="s">
        <v>505</v>
      </c>
      <c r="F60" s="6" t="s">
        <v>506</v>
      </c>
      <c r="G60" s="6" t="s">
        <v>507</v>
      </c>
      <c r="H60" s="6" t="s">
        <v>508</v>
      </c>
      <c r="I60" s="6" t="s">
        <v>71</v>
      </c>
      <c r="J60" s="5" t="s">
        <v>61</v>
      </c>
      <c r="K60" s="5" t="s">
        <v>62</v>
      </c>
      <c r="L60" s="7"/>
      <c r="M60" s="6" t="s">
        <v>63</v>
      </c>
      <c r="N60" s="5" t="s">
        <v>44</v>
      </c>
    </row>
    <row r="61" customFormat="false" ht="23.85" hidden="false" customHeight="false" outlineLevel="0" collapsed="false">
      <c r="A61" s="5" t="s">
        <v>509</v>
      </c>
      <c r="B61" s="5" t="s">
        <v>510</v>
      </c>
      <c r="C61" s="5" t="s">
        <v>433</v>
      </c>
      <c r="D61" s="6" t="s">
        <v>511</v>
      </c>
      <c r="E61" s="6" t="s">
        <v>512</v>
      </c>
      <c r="F61" s="6" t="s">
        <v>513</v>
      </c>
      <c r="G61" s="6" t="s">
        <v>514</v>
      </c>
      <c r="H61" s="6" t="s">
        <v>515</v>
      </c>
      <c r="I61" s="6" t="s">
        <v>40</v>
      </c>
      <c r="J61" s="5" t="s">
        <v>41</v>
      </c>
      <c r="K61" s="5" t="s">
        <v>345</v>
      </c>
      <c r="L61" s="7" t="n">
        <v>46308</v>
      </c>
      <c r="M61" s="6" t="s">
        <v>516</v>
      </c>
      <c r="N61" s="5" t="s">
        <v>44</v>
      </c>
    </row>
    <row r="62" customFormat="false" ht="23.85" hidden="false" customHeight="false" outlineLevel="0" collapsed="false">
      <c r="A62" s="5" t="s">
        <v>517</v>
      </c>
      <c r="B62" s="5" t="s">
        <v>518</v>
      </c>
      <c r="C62" s="5" t="s">
        <v>433</v>
      </c>
      <c r="D62" s="6" t="s">
        <v>519</v>
      </c>
      <c r="E62" s="6" t="s">
        <v>520</v>
      </c>
      <c r="F62" s="6" t="s">
        <v>521</v>
      </c>
      <c r="G62" s="6" t="s">
        <v>522</v>
      </c>
      <c r="H62" s="6" t="s">
        <v>523</v>
      </c>
      <c r="I62" s="6" t="s">
        <v>40</v>
      </c>
      <c r="J62" s="5" t="s">
        <v>41</v>
      </c>
      <c r="K62" s="5" t="s">
        <v>345</v>
      </c>
      <c r="L62" s="7" t="n">
        <v>46308</v>
      </c>
      <c r="M62" s="6" t="s">
        <v>524</v>
      </c>
      <c r="N62" s="5" t="s">
        <v>44</v>
      </c>
    </row>
    <row r="63" customFormat="false" ht="23.85" hidden="false" customHeight="false" outlineLevel="0" collapsed="false">
      <c r="A63" s="5" t="s">
        <v>525</v>
      </c>
      <c r="B63" s="5" t="s">
        <v>526</v>
      </c>
      <c r="C63" s="5" t="s">
        <v>527</v>
      </c>
      <c r="D63" s="6" t="s">
        <v>528</v>
      </c>
      <c r="E63" s="6" t="s">
        <v>529</v>
      </c>
      <c r="F63" s="6" t="s">
        <v>530</v>
      </c>
      <c r="G63" s="6" t="s">
        <v>531</v>
      </c>
      <c r="H63" s="6" t="s">
        <v>532</v>
      </c>
      <c r="I63" s="6" t="s">
        <v>60</v>
      </c>
      <c r="J63" s="5" t="s">
        <v>61</v>
      </c>
      <c r="K63" s="5" t="s">
        <v>533</v>
      </c>
      <c r="L63" s="7"/>
      <c r="M63" s="6" t="s">
        <v>63</v>
      </c>
      <c r="N63" s="5" t="s">
        <v>44</v>
      </c>
    </row>
    <row r="64" customFormat="false" ht="23.85" hidden="false" customHeight="false" outlineLevel="0" collapsed="false">
      <c r="A64" s="5" t="s">
        <v>534</v>
      </c>
      <c r="B64" s="5" t="s">
        <v>535</v>
      </c>
      <c r="C64" s="5" t="s">
        <v>527</v>
      </c>
      <c r="D64" s="6" t="s">
        <v>536</v>
      </c>
      <c r="E64" s="6" t="s">
        <v>537</v>
      </c>
      <c r="F64" s="6" t="s">
        <v>538</v>
      </c>
      <c r="G64" s="6" t="s">
        <v>539</v>
      </c>
      <c r="H64" s="6" t="s">
        <v>540</v>
      </c>
      <c r="I64" s="6" t="s">
        <v>71</v>
      </c>
      <c r="J64" s="5" t="s">
        <v>61</v>
      </c>
      <c r="K64" s="5" t="s">
        <v>533</v>
      </c>
      <c r="L64" s="7"/>
      <c r="M64" s="6" t="s">
        <v>63</v>
      </c>
      <c r="N64" s="5" t="s">
        <v>44</v>
      </c>
    </row>
    <row r="65" customFormat="false" ht="23.85" hidden="false" customHeight="false" outlineLevel="0" collapsed="false">
      <c r="A65" s="5" t="s">
        <v>541</v>
      </c>
      <c r="B65" s="5" t="s">
        <v>542</v>
      </c>
      <c r="C65" s="5" t="s">
        <v>527</v>
      </c>
      <c r="D65" s="6" t="s">
        <v>543</v>
      </c>
      <c r="E65" s="6" t="s">
        <v>544</v>
      </c>
      <c r="F65" s="6" t="s">
        <v>545</v>
      </c>
      <c r="G65" s="6" t="s">
        <v>546</v>
      </c>
      <c r="H65" s="6" t="s">
        <v>547</v>
      </c>
      <c r="I65" s="6" t="s">
        <v>399</v>
      </c>
      <c r="J65" s="5" t="s">
        <v>61</v>
      </c>
      <c r="K65" s="5" t="s">
        <v>533</v>
      </c>
      <c r="L65" s="7"/>
      <c r="M65" s="6" t="s">
        <v>63</v>
      </c>
      <c r="N65" s="5" t="s">
        <v>44</v>
      </c>
    </row>
    <row r="66" customFormat="false" ht="23.85" hidden="false" customHeight="false" outlineLevel="0" collapsed="false">
      <c r="A66" s="5" t="s">
        <v>548</v>
      </c>
      <c r="B66" s="5" t="s">
        <v>549</v>
      </c>
      <c r="C66" s="5" t="s">
        <v>527</v>
      </c>
      <c r="D66" s="6" t="s">
        <v>550</v>
      </c>
      <c r="E66" s="6" t="s">
        <v>551</v>
      </c>
      <c r="F66" s="6" t="s">
        <v>552</v>
      </c>
      <c r="G66" s="6" t="s">
        <v>553</v>
      </c>
      <c r="H66" s="6" t="s">
        <v>554</v>
      </c>
      <c r="I66" s="6" t="s">
        <v>71</v>
      </c>
      <c r="J66" s="5" t="s">
        <v>61</v>
      </c>
      <c r="K66" s="5" t="s">
        <v>533</v>
      </c>
      <c r="L66" s="7"/>
      <c r="M66" s="6" t="s">
        <v>63</v>
      </c>
      <c r="N66" s="5" t="s">
        <v>44</v>
      </c>
    </row>
    <row r="67" customFormat="false" ht="23.85" hidden="false" customHeight="false" outlineLevel="0" collapsed="false">
      <c r="A67" s="5" t="s">
        <v>555</v>
      </c>
      <c r="B67" s="5" t="s">
        <v>556</v>
      </c>
      <c r="C67" s="5" t="s">
        <v>527</v>
      </c>
      <c r="D67" s="6" t="s">
        <v>557</v>
      </c>
      <c r="E67" s="6" t="s">
        <v>558</v>
      </c>
      <c r="F67" s="6" t="s">
        <v>559</v>
      </c>
      <c r="G67" s="6" t="s">
        <v>560</v>
      </c>
      <c r="H67" s="6" t="s">
        <v>561</v>
      </c>
      <c r="I67" s="6" t="s">
        <v>430</v>
      </c>
      <c r="J67" s="5" t="s">
        <v>61</v>
      </c>
      <c r="K67" s="5" t="s">
        <v>533</v>
      </c>
      <c r="L67" s="7"/>
      <c r="M67" s="6" t="s">
        <v>63</v>
      </c>
      <c r="N67" s="5" t="s">
        <v>44</v>
      </c>
    </row>
    <row r="68" customFormat="false" ht="23.85" hidden="false" customHeight="false" outlineLevel="0" collapsed="false">
      <c r="A68" s="5" t="s">
        <v>562</v>
      </c>
      <c r="B68" s="5" t="s">
        <v>563</v>
      </c>
      <c r="C68" s="5" t="s">
        <v>564</v>
      </c>
      <c r="D68" s="6" t="s">
        <v>565</v>
      </c>
      <c r="E68" s="6" t="s">
        <v>566</v>
      </c>
      <c r="F68" s="6" t="s">
        <v>567</v>
      </c>
      <c r="G68" s="6" t="s">
        <v>568</v>
      </c>
      <c r="H68" s="6" t="s">
        <v>569</v>
      </c>
      <c r="I68" s="6" t="s">
        <v>60</v>
      </c>
      <c r="J68" s="5" t="s">
        <v>61</v>
      </c>
      <c r="K68" s="5" t="s">
        <v>570</v>
      </c>
      <c r="L68" s="7"/>
      <c r="M68" s="6" t="s">
        <v>63</v>
      </c>
      <c r="N68" s="5" t="s">
        <v>44</v>
      </c>
    </row>
    <row r="69" customFormat="false" ht="23.85" hidden="false" customHeight="false" outlineLevel="0" collapsed="false">
      <c r="A69" s="5" t="s">
        <v>571</v>
      </c>
      <c r="B69" s="5" t="s">
        <v>572</v>
      </c>
      <c r="C69" s="5" t="s">
        <v>564</v>
      </c>
      <c r="D69" s="6" t="s">
        <v>573</v>
      </c>
      <c r="E69" s="6" t="s">
        <v>574</v>
      </c>
      <c r="F69" s="6" t="s">
        <v>575</v>
      </c>
      <c r="G69" s="6" t="s">
        <v>576</v>
      </c>
      <c r="H69" s="6" t="s">
        <v>577</v>
      </c>
      <c r="I69" s="6" t="s">
        <v>60</v>
      </c>
      <c r="J69" s="5" t="s">
        <v>61</v>
      </c>
      <c r="K69" s="5" t="s">
        <v>570</v>
      </c>
      <c r="L69" s="7"/>
      <c r="M69" s="6" t="s">
        <v>63</v>
      </c>
      <c r="N69" s="5" t="s">
        <v>44</v>
      </c>
    </row>
    <row r="70" customFormat="false" ht="23.85" hidden="false" customHeight="false" outlineLevel="0" collapsed="false">
      <c r="A70" s="5" t="s">
        <v>578</v>
      </c>
      <c r="B70" s="5" t="s">
        <v>579</v>
      </c>
      <c r="C70" s="5" t="s">
        <v>564</v>
      </c>
      <c r="D70" s="6" t="s">
        <v>580</v>
      </c>
      <c r="E70" s="6" t="s">
        <v>581</v>
      </c>
      <c r="F70" s="6" t="s">
        <v>582</v>
      </c>
      <c r="G70" s="6" t="s">
        <v>583</v>
      </c>
      <c r="H70" s="6" t="s">
        <v>584</v>
      </c>
      <c r="I70" s="6" t="s">
        <v>430</v>
      </c>
      <c r="J70" s="5" t="s">
        <v>61</v>
      </c>
      <c r="K70" s="5" t="s">
        <v>570</v>
      </c>
      <c r="L70" s="7"/>
      <c r="M70" s="6" t="s">
        <v>63</v>
      </c>
      <c r="N70" s="5" t="s">
        <v>44</v>
      </c>
    </row>
    <row r="71" customFormat="false" ht="23.85" hidden="false" customHeight="false" outlineLevel="0" collapsed="false">
      <c r="A71" s="5" t="s">
        <v>585</v>
      </c>
      <c r="B71" s="5" t="s">
        <v>586</v>
      </c>
      <c r="C71" s="5" t="s">
        <v>564</v>
      </c>
      <c r="D71" s="6" t="s">
        <v>587</v>
      </c>
      <c r="E71" s="6" t="s">
        <v>588</v>
      </c>
      <c r="F71" s="6" t="s">
        <v>589</v>
      </c>
      <c r="G71" s="6" t="s">
        <v>590</v>
      </c>
      <c r="H71" s="6" t="s">
        <v>591</v>
      </c>
      <c r="I71" s="6" t="s">
        <v>430</v>
      </c>
      <c r="J71" s="5" t="s">
        <v>61</v>
      </c>
      <c r="K71" s="5" t="s">
        <v>570</v>
      </c>
      <c r="L71" s="7"/>
      <c r="M71" s="6" t="s">
        <v>63</v>
      </c>
      <c r="N71" s="5" t="s">
        <v>44</v>
      </c>
    </row>
    <row r="72" customFormat="false" ht="23.85" hidden="false" customHeight="false" outlineLevel="0" collapsed="false">
      <c r="A72" s="5" t="s">
        <v>592</v>
      </c>
      <c r="B72" s="5" t="s">
        <v>593</v>
      </c>
      <c r="C72" s="5" t="s">
        <v>594</v>
      </c>
      <c r="D72" s="6" t="s">
        <v>595</v>
      </c>
      <c r="E72" s="6" t="s">
        <v>596</v>
      </c>
      <c r="F72" s="6" t="s">
        <v>597</v>
      </c>
      <c r="G72" s="6" t="s">
        <v>598</v>
      </c>
      <c r="H72" s="6" t="s">
        <v>599</v>
      </c>
      <c r="I72" s="6" t="s">
        <v>40</v>
      </c>
      <c r="J72" s="5" t="s">
        <v>41</v>
      </c>
      <c r="K72" s="5" t="s">
        <v>208</v>
      </c>
      <c r="L72" s="7" t="n">
        <v>46308</v>
      </c>
      <c r="M72" s="6" t="s">
        <v>600</v>
      </c>
      <c r="N72" s="5" t="s">
        <v>44</v>
      </c>
    </row>
    <row r="73" customFormat="false" ht="23.85" hidden="false" customHeight="false" outlineLevel="0" collapsed="false">
      <c r="A73" s="5" t="s">
        <v>601</v>
      </c>
      <c r="B73" s="5" t="s">
        <v>602</v>
      </c>
      <c r="C73" s="5" t="s">
        <v>594</v>
      </c>
      <c r="D73" s="6" t="s">
        <v>603</v>
      </c>
      <c r="E73" s="6" t="s">
        <v>596</v>
      </c>
      <c r="F73" s="6" t="s">
        <v>604</v>
      </c>
      <c r="G73" s="6" t="s">
        <v>598</v>
      </c>
      <c r="H73" s="6" t="s">
        <v>605</v>
      </c>
      <c r="I73" s="6" t="s">
        <v>40</v>
      </c>
      <c r="J73" s="5" t="s">
        <v>41</v>
      </c>
      <c r="K73" s="5" t="s">
        <v>208</v>
      </c>
      <c r="L73" s="7" t="n">
        <v>46308</v>
      </c>
      <c r="M73" s="6" t="s">
        <v>606</v>
      </c>
      <c r="N73" s="5" t="s">
        <v>44</v>
      </c>
    </row>
    <row r="74" customFormat="false" ht="23.85" hidden="false" customHeight="false" outlineLevel="0" collapsed="false">
      <c r="A74" s="5" t="s">
        <v>607</v>
      </c>
      <c r="B74" s="5" t="s">
        <v>608</v>
      </c>
      <c r="C74" s="5" t="s">
        <v>594</v>
      </c>
      <c r="D74" s="6" t="s">
        <v>609</v>
      </c>
      <c r="E74" s="6" t="s">
        <v>596</v>
      </c>
      <c r="F74" s="6" t="s">
        <v>610</v>
      </c>
      <c r="G74" s="6" t="s">
        <v>598</v>
      </c>
      <c r="H74" s="6" t="s">
        <v>599</v>
      </c>
      <c r="I74" s="6" t="s">
        <v>40</v>
      </c>
      <c r="J74" s="5" t="s">
        <v>41</v>
      </c>
      <c r="K74" s="5" t="s">
        <v>208</v>
      </c>
      <c r="L74" s="7" t="n">
        <v>46308</v>
      </c>
      <c r="M74" s="6" t="s">
        <v>611</v>
      </c>
      <c r="N74" s="5" t="s">
        <v>44</v>
      </c>
    </row>
    <row r="75" customFormat="false" ht="23.85" hidden="false" customHeight="false" outlineLevel="0" collapsed="false">
      <c r="A75" s="5" t="s">
        <v>612</v>
      </c>
      <c r="B75" s="5" t="s">
        <v>613</v>
      </c>
      <c r="C75" s="5" t="s">
        <v>594</v>
      </c>
      <c r="D75" s="6" t="s">
        <v>614</v>
      </c>
      <c r="E75" s="6" t="s">
        <v>615</v>
      </c>
      <c r="F75" s="6" t="s">
        <v>616</v>
      </c>
      <c r="G75" s="6" t="s">
        <v>617</v>
      </c>
      <c r="H75" s="6" t="s">
        <v>618</v>
      </c>
      <c r="I75" s="6" t="s">
        <v>399</v>
      </c>
      <c r="J75" s="5" t="s">
        <v>61</v>
      </c>
      <c r="K75" s="5" t="s">
        <v>218</v>
      </c>
      <c r="L75" s="7"/>
      <c r="M75" s="6" t="s">
        <v>63</v>
      </c>
      <c r="N75" s="5" t="s">
        <v>44</v>
      </c>
    </row>
    <row r="76" customFormat="false" ht="23.85" hidden="false" customHeight="false" outlineLevel="0" collapsed="false">
      <c r="A76" s="5" t="s">
        <v>619</v>
      </c>
      <c r="B76" s="5" t="s">
        <v>620</v>
      </c>
      <c r="C76" s="5" t="s">
        <v>594</v>
      </c>
      <c r="D76" s="6" t="s">
        <v>621</v>
      </c>
      <c r="E76" s="6" t="s">
        <v>622</v>
      </c>
      <c r="F76" s="6" t="s">
        <v>623</v>
      </c>
      <c r="G76" s="6" t="s">
        <v>624</v>
      </c>
      <c r="H76" s="6" t="s">
        <v>625</v>
      </c>
      <c r="I76" s="6" t="s">
        <v>71</v>
      </c>
      <c r="J76" s="5" t="s">
        <v>61</v>
      </c>
      <c r="K76" s="5" t="s">
        <v>218</v>
      </c>
      <c r="L76" s="7"/>
      <c r="M76" s="6" t="s">
        <v>63</v>
      </c>
      <c r="N76" s="5" t="s">
        <v>44</v>
      </c>
    </row>
    <row r="77" customFormat="false" ht="23.85" hidden="false" customHeight="false" outlineLevel="0" collapsed="false">
      <c r="A77" s="5" t="s">
        <v>626</v>
      </c>
      <c r="B77" s="5" t="s">
        <v>127</v>
      </c>
      <c r="C77" s="5" t="s">
        <v>74</v>
      </c>
      <c r="D77" s="6" t="s">
        <v>627</v>
      </c>
      <c r="E77" s="6" t="s">
        <v>628</v>
      </c>
      <c r="F77" s="6" t="s">
        <v>629</v>
      </c>
      <c r="G77" s="6" t="s">
        <v>630</v>
      </c>
      <c r="H77" s="6" t="s">
        <v>631</v>
      </c>
      <c r="I77" s="6" t="s">
        <v>40</v>
      </c>
      <c r="J77" s="5" t="s">
        <v>41</v>
      </c>
      <c r="K77" s="5" t="s">
        <v>42</v>
      </c>
      <c r="L77" s="7" t="n">
        <v>46308</v>
      </c>
      <c r="M77" s="6" t="s">
        <v>632</v>
      </c>
      <c r="N77" s="5" t="s">
        <v>44</v>
      </c>
    </row>
    <row r="78" customFormat="false" ht="23.85" hidden="false" customHeight="false" outlineLevel="0" collapsed="false">
      <c r="A78" s="5" t="s">
        <v>633</v>
      </c>
      <c r="B78" s="5" t="s">
        <v>282</v>
      </c>
      <c r="C78" s="5" t="s">
        <v>202</v>
      </c>
      <c r="D78" s="6" t="s">
        <v>634</v>
      </c>
      <c r="E78" s="6" t="s">
        <v>635</v>
      </c>
      <c r="F78" s="6" t="s">
        <v>636</v>
      </c>
      <c r="G78" s="6" t="s">
        <v>637</v>
      </c>
      <c r="H78" s="6" t="s">
        <v>638</v>
      </c>
      <c r="I78" s="6" t="s">
        <v>40</v>
      </c>
      <c r="J78" s="5" t="s">
        <v>41</v>
      </c>
      <c r="K78" s="5" t="s">
        <v>208</v>
      </c>
      <c r="L78" s="7" t="n">
        <v>46308</v>
      </c>
      <c r="M78" s="6" t="s">
        <v>639</v>
      </c>
      <c r="N78" s="5" t="s">
        <v>44</v>
      </c>
    </row>
  </sheetData>
  <dataValidations count="1">
    <dataValidation allowBlank="true" errorStyle="stop" operator="between" showDropDown="false" showErrorMessage="false" showInputMessage="false" sqref="J2:J78" type="list">
      <formula1>"Passed (simulated review),Failed,Blocked,Not Executed - requires live Odoo verification,Passed (live Odoo)"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8" t="s">
        <v>640</v>
      </c>
    </row>
    <row r="3" customFormat="false" ht="15" hidden="false" customHeight="false" outlineLevel="0" collapsed="false">
      <c r="A3" s="2" t="s">
        <v>641</v>
      </c>
      <c r="B3" s="9" t="n">
        <f aca="false">COUNTA('Test Cases'!$A$2:$A$78)</f>
        <v>77</v>
      </c>
    </row>
    <row r="4" customFormat="false" ht="15" hidden="false" customHeight="false" outlineLevel="0" collapsed="false">
      <c r="A4" s="2" t="s">
        <v>41</v>
      </c>
      <c r="B4" s="9" t="n">
        <f aca="false">COUNTIF('Test Cases'!$J$2:$J$78,"Passed (simulated review)")</f>
        <v>50</v>
      </c>
    </row>
    <row r="5" customFormat="false" ht="15" hidden="false" customHeight="false" outlineLevel="0" collapsed="false">
      <c r="A5" s="2" t="s">
        <v>642</v>
      </c>
      <c r="B5" s="9" t="n">
        <f aca="false">COUNTIF('Test Cases'!$J$2:$J$78,"Failed")</f>
        <v>0</v>
      </c>
    </row>
    <row r="6" customFormat="false" ht="15" hidden="false" customHeight="false" outlineLevel="0" collapsed="false">
      <c r="A6" s="2" t="s">
        <v>643</v>
      </c>
      <c r="B6" s="9" t="n">
        <f aca="false">COUNTIF('Test Cases'!$J$2:$J$78,"Not Executed*")</f>
        <v>27</v>
      </c>
    </row>
    <row r="7" customFormat="false" ht="15" hidden="false" customHeight="false" outlineLevel="0" collapsed="false">
      <c r="A7" s="2" t="s">
        <v>644</v>
      </c>
      <c r="B7" s="9" t="n">
        <f aca="false">COUNTIF('Test Cases'!$J$2:$J$78,"Passed (live Odoo)")</f>
        <v>0</v>
      </c>
    </row>
    <row r="8" customFormat="false" ht="15" hidden="false" customHeight="false" outlineLevel="0" collapsed="false">
      <c r="A8" s="2" t="s">
        <v>645</v>
      </c>
      <c r="B8" s="9" t="n">
        <f aca="false">SUMPRODUCT(1/COUNTIF('Test Cases'!$B$2:$B$78,'Test Cases'!$B$2:$B$78))</f>
        <v>75</v>
      </c>
    </row>
    <row r="11" customFormat="false" ht="15" hidden="false" customHeight="false" outlineLevel="0" collapsed="false">
      <c r="A11" s="10" t="s">
        <v>646</v>
      </c>
    </row>
    <row r="12" customFormat="false" ht="15" hidden="false" customHeight="false" outlineLevel="0" collapsed="false">
      <c r="A12" s="11" t="s">
        <v>21</v>
      </c>
      <c r="B12" s="11" t="s">
        <v>647</v>
      </c>
      <c r="C12" s="11" t="s">
        <v>648</v>
      </c>
      <c r="D12" s="11" t="s">
        <v>649</v>
      </c>
    </row>
    <row r="13" customFormat="false" ht="15" hidden="false" customHeight="false" outlineLevel="0" collapsed="false">
      <c r="A13" s="0" t="s">
        <v>34</v>
      </c>
      <c r="B13" s="0" t="n">
        <f aca="false">COUNTIF('Test Cases'!$C$2:$C$78,A13)</f>
        <v>4</v>
      </c>
      <c r="C13" s="0" t="n">
        <f aca="false">COUNTIFS('Test Cases'!$C$2:$C$78,A13,'Test Cases'!$J$2:$J$78,"Passed (simulated review)")</f>
        <v>2</v>
      </c>
      <c r="D13" s="0" t="n">
        <f aca="false">COUNTIFS('Test Cases'!$C$2:$C$78,A13,'Test Cases'!$J$2:$J$78,"Not Executed*")</f>
        <v>2</v>
      </c>
    </row>
    <row r="14" customFormat="false" ht="15" hidden="false" customHeight="false" outlineLevel="0" collapsed="false">
      <c r="A14" s="0" t="s">
        <v>74</v>
      </c>
      <c r="B14" s="0" t="n">
        <f aca="false">COUNTIF('Test Cases'!$C$2:$C$78,A14)</f>
        <v>10</v>
      </c>
      <c r="C14" s="0" t="n">
        <f aca="false">COUNTIFS('Test Cases'!$C$2:$C$78,A14,'Test Cases'!$J$2:$J$78,"Passed (simulated review)")</f>
        <v>7</v>
      </c>
      <c r="D14" s="0" t="n">
        <f aca="false">COUNTIFS('Test Cases'!$C$2:$C$78,A14,'Test Cases'!$J$2:$J$78,"Not Executed*")</f>
        <v>3</v>
      </c>
    </row>
    <row r="15" customFormat="false" ht="15" hidden="false" customHeight="false" outlineLevel="0" collapsed="false">
      <c r="A15" s="0" t="s">
        <v>448</v>
      </c>
      <c r="B15" s="0" t="n">
        <f aca="false">COUNTIF('Test Cases'!$C$2:$C$78,A15)</f>
        <v>8</v>
      </c>
      <c r="C15" s="0" t="n">
        <f aca="false">COUNTIFS('Test Cases'!$C$2:$C$78,A15,'Test Cases'!$J$2:$J$78,"Passed (simulated review)")</f>
        <v>7</v>
      </c>
      <c r="D15" s="0" t="n">
        <f aca="false">COUNTIFS('Test Cases'!$C$2:$C$78,A15,'Test Cases'!$J$2:$J$78,"Not Executed*")</f>
        <v>1</v>
      </c>
    </row>
    <row r="16" customFormat="false" ht="15" hidden="false" customHeight="false" outlineLevel="0" collapsed="false">
      <c r="A16" s="0" t="s">
        <v>144</v>
      </c>
      <c r="B16" s="0" t="n">
        <f aca="false">COUNTIF('Test Cases'!$C$2:$C$78,A16)</f>
        <v>7</v>
      </c>
      <c r="C16" s="0" t="n">
        <f aca="false">COUNTIFS('Test Cases'!$C$2:$C$78,A16,'Test Cases'!$J$2:$J$78,"Passed (simulated review)")</f>
        <v>7</v>
      </c>
      <c r="D16" s="0" t="n">
        <f aca="false">COUNTIFS('Test Cases'!$C$2:$C$78,A16,'Test Cases'!$J$2:$J$78,"Not Executed*")</f>
        <v>0</v>
      </c>
    </row>
    <row r="17" customFormat="false" ht="15" hidden="false" customHeight="false" outlineLevel="0" collapsed="false">
      <c r="A17" s="0" t="s">
        <v>202</v>
      </c>
      <c r="B17" s="0" t="n">
        <f aca="false">COUNTIF('Test Cases'!$C$2:$C$78,A17)</f>
        <v>18</v>
      </c>
      <c r="C17" s="0" t="n">
        <f aca="false">COUNTIFS('Test Cases'!$C$2:$C$78,A17,'Test Cases'!$J$2:$J$78,"Passed (simulated review)")</f>
        <v>14</v>
      </c>
      <c r="D17" s="0" t="n">
        <f aca="false">COUNTIFS('Test Cases'!$C$2:$C$78,A17,'Test Cases'!$J$2:$J$78,"Not Executed*")</f>
        <v>4</v>
      </c>
    </row>
    <row r="18" customFormat="false" ht="15" hidden="false" customHeight="false" outlineLevel="0" collapsed="false">
      <c r="A18" s="0" t="s">
        <v>339</v>
      </c>
      <c r="B18" s="0" t="n">
        <f aca="false">COUNTIF('Test Cases'!$C$2:$C$78,A18)</f>
        <v>12</v>
      </c>
      <c r="C18" s="0" t="n">
        <f aca="false">COUNTIFS('Test Cases'!$C$2:$C$78,A18,'Test Cases'!$J$2:$J$78,"Passed (simulated review)")</f>
        <v>7</v>
      </c>
      <c r="D18" s="0" t="n">
        <f aca="false">COUNTIFS('Test Cases'!$C$2:$C$78,A18,'Test Cases'!$J$2:$J$78,"Not Executed*")</f>
        <v>5</v>
      </c>
    </row>
    <row r="19" customFormat="false" ht="15" hidden="false" customHeight="false" outlineLevel="0" collapsed="false">
      <c r="A19" s="0" t="s">
        <v>433</v>
      </c>
      <c r="B19" s="0" t="n">
        <f aca="false">COUNTIF('Test Cases'!$C$2:$C$78,A19)</f>
        <v>4</v>
      </c>
      <c r="C19" s="0" t="n">
        <f aca="false">COUNTIFS('Test Cases'!$C$2:$C$78,A19,'Test Cases'!$J$2:$J$78,"Passed (simulated review)")</f>
        <v>3</v>
      </c>
      <c r="D19" s="0" t="n">
        <f aca="false">COUNTIFS('Test Cases'!$C$2:$C$78,A19,'Test Cases'!$J$2:$J$78,"Not Executed*")</f>
        <v>1</v>
      </c>
    </row>
    <row r="20" customFormat="false" ht="15" hidden="false" customHeight="false" outlineLevel="0" collapsed="false">
      <c r="A20" s="0" t="s">
        <v>527</v>
      </c>
      <c r="B20" s="0" t="n">
        <f aca="false">COUNTIF('Test Cases'!$C$2:$C$78,A20)</f>
        <v>5</v>
      </c>
      <c r="C20" s="0" t="n">
        <f aca="false">COUNTIFS('Test Cases'!$C$2:$C$78,A20,'Test Cases'!$J$2:$J$78,"Passed (simulated review)")</f>
        <v>0</v>
      </c>
      <c r="D20" s="0" t="n">
        <f aca="false">COUNTIFS('Test Cases'!$C$2:$C$78,A20,'Test Cases'!$J$2:$J$78,"Not Executed*")</f>
        <v>5</v>
      </c>
    </row>
    <row r="21" customFormat="false" ht="15" hidden="false" customHeight="false" outlineLevel="0" collapsed="false">
      <c r="A21" s="0" t="s">
        <v>564</v>
      </c>
      <c r="B21" s="0" t="n">
        <f aca="false">COUNTIF('Test Cases'!$C$2:$C$78,A21)</f>
        <v>4</v>
      </c>
      <c r="C21" s="0" t="n">
        <f aca="false">COUNTIFS('Test Cases'!$C$2:$C$78,A21,'Test Cases'!$J$2:$J$78,"Passed (simulated review)")</f>
        <v>0</v>
      </c>
      <c r="D21" s="0" t="n">
        <f aca="false">COUNTIFS('Test Cases'!$C$2:$C$78,A21,'Test Cases'!$J$2:$J$78,"Not Executed*")</f>
        <v>4</v>
      </c>
    </row>
    <row r="22" customFormat="false" ht="15" hidden="false" customHeight="false" outlineLevel="0" collapsed="false">
      <c r="A22" s="0" t="s">
        <v>594</v>
      </c>
      <c r="B22" s="0" t="n">
        <f aca="false">COUNTIF('Test Cases'!$C$2:$C$78,A22)</f>
        <v>5</v>
      </c>
      <c r="C22" s="0" t="n">
        <f aca="false">COUNTIFS('Test Cases'!$C$2:$C$78,A22,'Test Cases'!$J$2:$J$78,"Passed (simulated review)")</f>
        <v>3</v>
      </c>
      <c r="D22" s="0" t="n">
        <f aca="false">COUNTIFS('Test Cases'!$C$2:$C$78,A22,'Test Cases'!$J$2:$J$78,"Not Executed*")</f>
        <v>2</v>
      </c>
    </row>
    <row r="23" customFormat="false" ht="15" hidden="false" customHeight="false" outlineLevel="0" collapsed="false">
      <c r="A23" s="12" t="s">
        <v>650</v>
      </c>
      <c r="B23" s="9" t="n">
        <f aca="false">SUM(B13:B22)</f>
        <v>77</v>
      </c>
      <c r="C23" s="9" t="n">
        <f aca="false">SUM(C13:C22)</f>
        <v>50</v>
      </c>
      <c r="D23" s="9" t="n">
        <f aca="false">SUM(D13:D22)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6" min="4" style="0" width="13"/>
    <col collapsed="false" customWidth="true" hidden="false" outlineLevel="0" max="7" min="7" style="0" width="15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4" t="s">
        <v>31</v>
      </c>
      <c r="B1" s="4" t="s">
        <v>19</v>
      </c>
      <c r="C1" s="4" t="s">
        <v>651</v>
      </c>
      <c r="D1" s="4" t="s">
        <v>652</v>
      </c>
      <c r="E1" s="4" t="s">
        <v>653</v>
      </c>
      <c r="F1" s="4" t="s">
        <v>654</v>
      </c>
      <c r="G1" s="4" t="s">
        <v>655</v>
      </c>
      <c r="H1" s="4" t="s">
        <v>656</v>
      </c>
    </row>
    <row r="2" customFormat="false" ht="15" hidden="false" customHeight="false" outlineLevel="0" collapsed="false">
      <c r="A2" s="5" t="s">
        <v>657</v>
      </c>
      <c r="B2" s="5"/>
      <c r="C2" s="5" t="s">
        <v>658</v>
      </c>
      <c r="D2" s="5"/>
      <c r="E2" s="5"/>
      <c r="F2" s="5"/>
      <c r="G2" s="5"/>
      <c r="H2" s="5"/>
    </row>
  </sheetData>
  <dataValidations count="2">
    <dataValidation allowBlank="true" errorStyle="stop" operator="between" showDropDown="false" showErrorMessage="false" showInputMessage="false" sqref="D2" type="list">
      <formula1>"Critical,High,Medium,Low"</formula1>
      <formula2>0</formula2>
    </dataValidation>
    <dataValidation allowBlank="true" errorStyle="stop" operator="between" showDropDown="false" showErrorMessage="false" showInputMessage="false" sqref="E2" type="list">
      <formula1>"Open,In Progress,Resolved,Closed"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2026-10-29T08:32:39Z</dcterms:created>
  <dc:creator>openpyxl</dc:creator>
  <dc:description/>
  <dc:language>en-US</dc:language>
  <cp:lastModifiedBy/>
  <dcterms:modified xsi:type="dcterms:W3CDTF">2026-10-29T08:32:39Z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