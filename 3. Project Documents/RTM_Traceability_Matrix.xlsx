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TM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<sst xmlns="http://schemas.openxmlformats.org/spreadsheetml/2006/main" count="877" uniqueCount="484">
  <si>
    <t xml:space="preserve">RedLine Medical — Requirements Traceability Matrix</t>
  </si>
  <si>
    <t xml:space="preserve">Project</t>
  </si>
  <si>
    <t xml:space="preserve">RedLine Medical Supplies &amp; Equipment Trading — Odoo ERP Graduation Project</t>
  </si>
  <si>
    <t xml:space="preserve">Version / date</t>
  </si>
  <si>
    <t xml:space="preserve">1.0 — 2026-10-25</t>
  </si>
  <si>
    <t xml:space="preserve">Target Odoo version</t>
  </si>
  <si>
    <t xml:space="preserve">Odoo 19.0 (Enterprise edition assumed)</t>
  </si>
  <si>
    <t xml:space="preserve">Scope</t>
  </si>
  <si>
    <t xml:space="preserve">75 requirements across Contacts, Sales, CRM, Purchase, Inventory, Accounting, Reporting, Security, Non-functional and Migration; every requirement links to at least one test case in UATD_User_Acceptance_Testing.xlsx.</t>
  </si>
  <si>
    <t xml:space="preserve">Validation status meaning</t>
  </si>
  <si>
    <t xml:space="preserve">'Validated (simulated review)' = every linked test was reviewed against its documented scenario and the simulated data. 'Pending live Odoo verification' = at least one linked test depends on Enterprise/optional/custom features or needs real-server confirmation. Nothing has been executed on a live Odoo server.</t>
  </si>
  <si>
    <t xml:space="preserve">Flags</t>
  </si>
  <si>
    <t xml:space="preserve">'Customization / verification needed' = Yes when the feature class is a proposed customization, Enterprise/optional app, or flagged for technical verification.</t>
  </si>
  <si>
    <t xml:space="preserve">Formulas</t>
  </si>
  <si>
    <t xml:space="preserve">Coverage columns and the Summary sheet use COUNTIF formulas.</t>
  </si>
  <si>
    <t xml:space="preserve">Requirement ID</t>
  </si>
  <si>
    <t xml:space="preserve">Requirement</t>
  </si>
  <si>
    <t xml:space="preserve">Business Requirement (description)</t>
  </si>
  <si>
    <t xml:space="preserve">Business Process</t>
  </si>
  <si>
    <t xml:space="preserve">Odoo Module</t>
  </si>
  <si>
    <t xml:space="preserve">Standard / Customization</t>
  </si>
  <si>
    <t xml:space="preserve">Customization or Verification Needed</t>
  </si>
  <si>
    <t xml:space="preserve">Responsible Stakeholder</t>
  </si>
  <si>
    <t xml:space="preserve">Test Case ID(s)</t>
  </si>
  <si>
    <t xml:space="preserve">Acceptance Criteria</t>
  </si>
  <si>
    <t xml:space="preserve">Validation Status</t>
  </si>
  <si>
    <t xml:space="preserve">Test Coverage</t>
  </si>
  <si>
    <t xml:space="preserve"># Test Cases</t>
  </si>
  <si>
    <t xml:space="preserve">CON-001</t>
  </si>
  <si>
    <t xml:space="preserve">Customer master with classification</t>
  </si>
  <si>
    <t xml:space="preserve">Maintain customers (hospitals, clinics, labs, imaging centers, providers, retail) with bilingual names, address, contact role, payment terms, credit limit and tax-ID field.</t>
  </si>
  <si>
    <t xml:space="preserve">Master Data</t>
  </si>
  <si>
    <t xml:space="preserve">Contacts</t>
  </si>
  <si>
    <t xml:space="preserve">Standard (configuration)</t>
  </si>
  <si>
    <t xml:space="preserve">No</t>
  </si>
  <si>
    <t xml:space="preserve">Sales &amp; Marketing Manager</t>
  </si>
  <si>
    <t xml:space="preserve">TC-001</t>
  </si>
  <si>
    <t xml:space="preserve">A customer record can be created with Arabic and English name, classification tag, payment term and credit limit, and is selectable on a quotation.</t>
  </si>
  <si>
    <t xml:space="preserve">Validated (simulated review)</t>
  </si>
  <si>
    <t xml:space="preserve">CON-002</t>
  </si>
  <si>
    <t xml:space="preserve">Vendor master with terms and bank</t>
  </si>
  <si>
    <t xml:space="preserve">Maintain vendors (manufacturers, distributors) with payment terms, paying bank, classification and a flag for verified authorization status.</t>
  </si>
  <si>
    <t xml:space="preserve">Procurement Manager</t>
  </si>
  <si>
    <t xml:space="preserve">TC-002</t>
  </si>
  <si>
    <t xml:space="preserve">A vendor record is created with payment term and bank; the vendor appears on RFQs and bills.</t>
  </si>
  <si>
    <t xml:space="preserve">CON-003</t>
  </si>
  <si>
    <t xml:space="preserve">Duplicate partner prevention</t>
  </si>
  <si>
    <t xml:space="preserve">Warn on duplicate partner name or tax ID at creation.</t>
  </si>
  <si>
    <t xml:space="preserve">Yes</t>
  </si>
  <si>
    <t xml:space="preserve">Finance &amp; Accounting Manager</t>
  </si>
  <si>
    <t xml:space="preserve">TC-003</t>
  </si>
  <si>
    <t xml:space="preserve">Creating a partner with an existing tax ID/name raises a warning or is blocked per setting.</t>
  </si>
  <si>
    <t xml:space="preserve">Pending live Odoo verification</t>
  </si>
  <si>
    <t xml:space="preserve">CON-004</t>
  </si>
  <si>
    <t xml:space="preserve">Customer credit limit control</t>
  </si>
  <si>
    <t xml:space="preserve">Warn or block sales confirmation when open receivables plus the new order exceed the customer credit limit.</t>
  </si>
  <si>
    <t xml:space="preserve">Credit Management</t>
  </si>
  <si>
    <t xml:space="preserve">Customization (proposed)</t>
  </si>
  <si>
    <t xml:space="preserve">TC-004</t>
  </si>
  <si>
    <t xml:space="preserve">Confirming an order that breaches the credit limit shows a warning; a hard block is available only if configured/customized.</t>
  </si>
  <si>
    <t xml:space="preserve">SAL-001</t>
  </si>
  <si>
    <t xml:space="preserve">Quotation creation with pricelist</t>
  </si>
  <si>
    <t xml:space="preserve">Create quotations with customer pricelist/contract discount, bilingual product names and VAT 14%.</t>
  </si>
  <si>
    <t xml:space="preserve">Order-to-Cash</t>
  </si>
  <si>
    <t xml:space="preserve">Sales</t>
  </si>
  <si>
    <t xml:space="preserve">Standard</t>
  </si>
  <si>
    <t xml:space="preserve">TC-005</t>
  </si>
  <si>
    <t xml:space="preserve">Quotation lines show contract-discounted ex-VAT prices and 14% VAT; PDF prints in Arabic and English.</t>
  </si>
  <si>
    <t xml:space="preserve">SAL-002</t>
  </si>
  <si>
    <t xml:space="preserve">Quotation approval above threshold</t>
  </si>
  <si>
    <t xml:space="preserve">Quotations above EGP 500,000 require approval by the Sales &amp; Marketing Manager before confirmation.</t>
  </si>
  <si>
    <t xml:space="preserve">TC-006</t>
  </si>
  <si>
    <t xml:space="preserve">A quotation above the threshold cannot be confirmed until approved; approval is logged.</t>
  </si>
  <si>
    <t xml:space="preserve">SAL-003</t>
  </si>
  <si>
    <t xml:space="preserve">Sales order confirmation creates delivery</t>
  </si>
  <si>
    <t xml:space="preserve">Confirming a sales order creates delivery orders from the correct home warehouse(s).</t>
  </si>
  <si>
    <t xml:space="preserve">Warehouse &amp; Logistics Manager</t>
  </si>
  <si>
    <t xml:space="preserve">TC-007</t>
  </si>
  <si>
    <t xml:space="preserve">Confirmation creates one delivery per source warehouse with reserved lots/serials.</t>
  </si>
  <si>
    <t xml:space="preserve">SAL-004</t>
  </si>
  <si>
    <t xml:space="preserve">Partial delivery and backorder</t>
  </si>
  <si>
    <t xml:space="preserve">Allow partial deliveries with a backorder for remaining quantities and invoice on delivered quantity.</t>
  </si>
  <si>
    <t xml:space="preserve">TC-008</t>
  </si>
  <si>
    <t xml:space="preserve">Validating a partial delivery creates a backorder; the invoice reflects delivered quantity only.</t>
  </si>
  <si>
    <t xml:space="preserve">SAL-005</t>
  </si>
  <si>
    <t xml:space="preserve">Branch assignment on sales documents</t>
  </si>
  <si>
    <t xml:space="preserve">Every sales order and invoice carries the responsible branch for reporting (analytic plan Branch).</t>
  </si>
  <si>
    <t xml:space="preserve">Branch Reporting</t>
  </si>
  <si>
    <t xml:space="preserve">General Manager</t>
  </si>
  <si>
    <t xml:space="preserve">TC-009</t>
  </si>
  <si>
    <t xml:space="preserve">Sales analysis can be filtered by branch BR-NSC / BR-MAA / BR-MOH and totals agree with invoices.</t>
  </si>
  <si>
    <t xml:space="preserve">SAL-006</t>
  </si>
  <si>
    <t xml:space="preserve">Contract discounts per customer</t>
  </si>
  <si>
    <t xml:space="preserve">Apply contract discount percentages (0–5%) per customer through pricelists.</t>
  </si>
  <si>
    <t xml:space="preserve">Pricing</t>
  </si>
  <si>
    <t xml:space="preserve">TC-010</t>
  </si>
  <si>
    <t xml:space="preserve">Orders for a customer use that customer's discounted price automatically.</t>
  </si>
  <si>
    <t xml:space="preserve">SAL-007</t>
  </si>
  <si>
    <t xml:space="preserve">Warranty tracking for serial equipment</t>
  </si>
  <si>
    <t xml:space="preserve">Record warranty duration per product and calculate warranty end date per delivered serial number.</t>
  </si>
  <si>
    <t xml:space="preserve">Warranty</t>
  </si>
  <si>
    <t xml:space="preserve">Technical Service Manager</t>
  </si>
  <si>
    <t xml:space="preserve">TC-011</t>
  </si>
  <si>
    <t xml:space="preserve">For a delivered serial number the warranty end date and status can be viewed and reported.</t>
  </si>
  <si>
    <t xml:space="preserve">SAL-008</t>
  </si>
  <si>
    <t xml:space="preserve">Customer return (RMA) with credit note</t>
  </si>
  <si>
    <t xml:space="preserve">Receive returned goods into the quarantine warehouse and issue a credit note referencing the original invoice.</t>
  </si>
  <si>
    <t xml:space="preserve">Returns</t>
  </si>
  <si>
    <t xml:space="preserve">TC-012, TC-076</t>
  </si>
  <si>
    <t xml:space="preserve">A return is received into QRT/Quarantine and a posted credit note reverses the revenue and VAT of the returned quantity.</t>
  </si>
  <si>
    <t xml:space="preserve">SAL-009</t>
  </si>
  <si>
    <t xml:space="preserve">Retail cash sale at Maadi counter</t>
  </si>
  <si>
    <t xml:space="preserve">Immediate-payment sales to retail customers with payment registered to the Maadi cash safe.</t>
  </si>
  <si>
    <t xml:space="preserve">Retail</t>
  </si>
  <si>
    <t xml:space="preserve">Maadi Branch Manager</t>
  </si>
  <si>
    <t xml:space="preserve">TC-013</t>
  </si>
  <si>
    <t xml:space="preserve">A retail order is delivered, invoiced and paid on the same day in journal CSH2.</t>
  </si>
  <si>
    <t xml:space="preserve">CRM-001</t>
  </si>
  <si>
    <t xml:space="preserve">Lead capture and qualification</t>
  </si>
  <si>
    <t xml:space="preserve">Capture leads from hospital tenders, referrals, exhibitions, website and email with source, customer type and expected product interest; qualify or discard.</t>
  </si>
  <si>
    <t xml:space="preserve">Lead-to-Opportunity</t>
  </si>
  <si>
    <t xml:space="preserve">CRM</t>
  </si>
  <si>
    <t xml:space="preserve">TC-052</t>
  </si>
  <si>
    <t xml:space="preserve">A lead with a source can be created and converted to an opportunity or marked lost.</t>
  </si>
  <si>
    <t xml:space="preserve">CRM-002</t>
  </si>
  <si>
    <t xml:space="preserve">Opportunity pipeline with stages</t>
  </si>
  <si>
    <t xml:space="preserve">Manage opportunities through stages New, Qualified, Quotation Sent, Negotiation, Won and Lost with a probability per stage.</t>
  </si>
  <si>
    <t xml:space="preserve">TC-053</t>
  </si>
  <si>
    <t xml:space="preserve">The pipeline board shows opportunities by stage with expected revenue and probability.</t>
  </si>
  <si>
    <t xml:space="preserve">CRM-003</t>
  </si>
  <si>
    <t xml:space="preserve">Quotation from opportunity</t>
  </si>
  <si>
    <t xml:space="preserve">Create a quotation directly from an opportunity so that the sales order, delivery and invoice stay linked to the opportunity.</t>
  </si>
  <si>
    <t xml:space="preserve">TC-054</t>
  </si>
  <si>
    <t xml:space="preserve">A quotation created from an opportunity shows the opportunity link and a confirmed order marks it Won.</t>
  </si>
  <si>
    <t xml:space="preserve">CRM-004</t>
  </si>
  <si>
    <t xml:space="preserve">Sales teams per branch</t>
  </si>
  <si>
    <t xml:space="preserve">Define sales teams for Nasr City, Maadi and Mohandeseen with assigned salespeople so pipeline and revenue can be analysed per branch.</t>
  </si>
  <si>
    <t xml:space="preserve">TC-055</t>
  </si>
  <si>
    <t xml:space="preserve">Pipeline analysis can be grouped by sales team and branch.</t>
  </si>
  <si>
    <t xml:space="preserve">CRM-005</t>
  </si>
  <si>
    <t xml:space="preserve">Activities and follow-ups</t>
  </si>
  <si>
    <t xml:space="preserve">Schedule calls, visits and demos on opportunities with reminders for the salesperson.</t>
  </si>
  <si>
    <t xml:space="preserve">Follow-up</t>
  </si>
  <si>
    <t xml:space="preserve">TC-056</t>
  </si>
  <si>
    <t xml:space="preserve">An overdue activity is highlighted on the opportunity and the salesperson's activity list.</t>
  </si>
  <si>
    <t xml:space="preserve">CRM-006</t>
  </si>
  <si>
    <t xml:space="preserve">Pipeline forecast and win rate</t>
  </si>
  <si>
    <t xml:space="preserve">Report expected revenue, weighted revenue, win rate and sales cycle length by branch and period.</t>
  </si>
  <si>
    <t xml:space="preserve">Reporting</t>
  </si>
  <si>
    <t xml:space="preserve">TC-057</t>
  </si>
  <si>
    <t xml:space="preserve">The forecast report shows expected and weighted revenue per stage and month.</t>
  </si>
  <si>
    <t xml:space="preserve">CRM-007</t>
  </si>
  <si>
    <t xml:space="preserve">Lost-reason analysis</t>
  </si>
  <si>
    <t xml:space="preserve">Record a lost reason (price, competitor, budget, tender cancelled, delivery time) and analyse lost opportunities.</t>
  </si>
  <si>
    <t xml:space="preserve">TC-058</t>
  </si>
  <si>
    <t xml:space="preserve">Marking an opportunity Lost requires a reason and the lost analysis groups by reason.</t>
  </si>
  <si>
    <t xml:space="preserve">CRM-008</t>
  </si>
  <si>
    <t xml:space="preserve">Hospital tender tracking</t>
  </si>
  <si>
    <t xml:space="preserve">Track tender reference, submission deadline and bid bond on opportunities of type tender using tags and custom fields.</t>
  </si>
  <si>
    <t xml:space="preserve">TC-059</t>
  </si>
  <si>
    <t xml:space="preserve">A tender opportunity shows reference and deadline and can be filtered by deadline.</t>
  </si>
  <si>
    <t xml:space="preserve">PUR-001</t>
  </si>
  <si>
    <t xml:space="preserve">RFQ to purchase order</t>
  </si>
  <si>
    <t xml:space="preserve">Create RFQs to vendors and confirm to purchase orders with expected receipt date and receiving warehouse.</t>
  </si>
  <si>
    <t xml:space="preserve">Procure-to-Pay</t>
  </si>
  <si>
    <t xml:space="preserve">Purchase</t>
  </si>
  <si>
    <t xml:space="preserve">TC-014</t>
  </si>
  <si>
    <t xml:space="preserve">An RFQ converts to a PO; a receipt is created in the chosen warehouse.</t>
  </si>
  <si>
    <t xml:space="preserve">PUR-002</t>
  </si>
  <si>
    <t xml:space="preserve">Purchase approval above threshold</t>
  </si>
  <si>
    <t xml:space="preserve">Purchase orders above EGP 250,000 require manager approval.</t>
  </si>
  <si>
    <t xml:space="preserve">TC-015</t>
  </si>
  <si>
    <t xml:space="preserve">POs above the threshold stay 'To Approve' until the approver confirms.</t>
  </si>
  <si>
    <t xml:space="preserve">PUR-003</t>
  </si>
  <si>
    <t xml:space="preserve">Replenishment through reordering rules</t>
  </si>
  <si>
    <t xml:space="preserve">Generate RFQs automatically from min/max reordering rules, considering vendor lead time.</t>
  </si>
  <si>
    <t xml:space="preserve">Replenishment</t>
  </si>
  <si>
    <t xml:space="preserve">TC-016</t>
  </si>
  <si>
    <t xml:space="preserve">Running the scheduler creates RFQs for products below minimum, up to maximum quantity.</t>
  </si>
  <si>
    <t xml:space="preserve">PUR-004</t>
  </si>
  <si>
    <t xml:space="preserve">Three-way match of PO, receipt and bill</t>
  </si>
  <si>
    <t xml:space="preserve">Vendor bills are matched to received quantities with billing control 'on received quantities'.</t>
  </si>
  <si>
    <t xml:space="preserve">TC-017</t>
  </si>
  <si>
    <t xml:space="preserve">A bill can only be created for received quantities; differences are visible.</t>
  </si>
  <si>
    <t xml:space="preserve">PUR-005</t>
  </si>
  <si>
    <t xml:space="preserve">Supplier return with debit note</t>
  </si>
  <si>
    <t xml:space="preserve">Return failed-inspection goods to the vendor and obtain a debit note.</t>
  </si>
  <si>
    <t xml:space="preserve">TC-018</t>
  </si>
  <si>
    <t xml:space="preserve">A return picking from quarantine to vendor is validated and a debit note reduces the payable.</t>
  </si>
  <si>
    <t xml:space="preserve">PUR-006</t>
  </si>
  <si>
    <t xml:space="preserve">Equipment procurement against confirmed demand</t>
  </si>
  <si>
    <t xml:space="preserve">Capital equipment (e.g. MRI) is purchased on a manual PO linked to a confirmed sales demand, serial numbers captured at receipt.</t>
  </si>
  <si>
    <t xml:space="preserve">TC-019</t>
  </si>
  <si>
    <t xml:space="preserve">A manual PO for a serial-tracked product is received with a unique serial number per unit.</t>
  </si>
  <si>
    <t xml:space="preserve">PUR-007</t>
  </si>
  <si>
    <t xml:space="preserve">Consumables purchasing with lot and expiry capture</t>
  </si>
  <si>
    <t xml:space="preserve">Capture vendor lot and expiry date at receipt for consumables.</t>
  </si>
  <si>
    <t xml:space="preserve">TC-020</t>
  </si>
  <si>
    <t xml:space="preserve">Receipt validation requires a lot and expiry date for expiry-tracked consumables.</t>
  </si>
  <si>
    <t xml:space="preserve">INV-001</t>
  </si>
  <si>
    <t xml:space="preserve">Two-step receipt (Input → Stock)</t>
  </si>
  <si>
    <t xml:space="preserve">Receive into the Input location and put away to Stock after inspection.</t>
  </si>
  <si>
    <t xml:space="preserve">Receipt &amp; Putaway</t>
  </si>
  <si>
    <t xml:space="preserve">Inventory</t>
  </si>
  <si>
    <t xml:space="preserve">TC-021</t>
  </si>
  <si>
    <t xml:space="preserve">Receipts create an Input→Stock internal move; stock is not available before putaway.</t>
  </si>
  <si>
    <t xml:space="preserve">INV-002</t>
  </si>
  <si>
    <t xml:space="preserve">Goods receipt quality inspection</t>
  </si>
  <si>
    <t xml:space="preserve">Quality check on receipt with pass/fail and failure routing to quarantine.</t>
  </si>
  <si>
    <t xml:space="preserve">Quality</t>
  </si>
  <si>
    <t xml:space="preserve">Enterprise feature</t>
  </si>
  <si>
    <t xml:space="preserve">Quality &amp; Compliance Officer</t>
  </si>
  <si>
    <t xml:space="preserve">TC-022</t>
  </si>
  <si>
    <t xml:space="preserve">A failed check blocks putaway and triggers transfer to the quarantine warehouse.</t>
  </si>
  <si>
    <t xml:space="preserve">INV-003</t>
  </si>
  <si>
    <t xml:space="preserve">Lot assignment on receipt</t>
  </si>
  <si>
    <t xml:space="preserve">Assign vendor/internal lot numbers to lot-tracked consumables at receipt.</t>
  </si>
  <si>
    <t xml:space="preserve">Traceability</t>
  </si>
  <si>
    <t xml:space="preserve">TC-023</t>
  </si>
  <si>
    <t xml:space="preserve">Every received lot-tracked line holds a lot number; on-hand by lot matches the register.</t>
  </si>
  <si>
    <t xml:space="preserve">INV-004</t>
  </si>
  <si>
    <t xml:space="preserve">Serial-number assignment for equipment</t>
  </si>
  <si>
    <t xml:space="preserve">Assign a unique serial number to each unit of serial-tracked equipment.</t>
  </si>
  <si>
    <t xml:space="preserve">TC-024</t>
  </si>
  <si>
    <t xml:space="preserve">Each unit has a unique serial; the same serial cannot be received twice.</t>
  </si>
  <si>
    <t xml:space="preserve">INV-005</t>
  </si>
  <si>
    <t xml:space="preserve">Expiry-date capture and display</t>
  </si>
  <si>
    <t xml:space="preserve">Record expiry dates on lots; show them on delivery and reports.</t>
  </si>
  <si>
    <t xml:space="preserve">Expiry</t>
  </si>
  <si>
    <t xml:space="preserve">TC-025</t>
  </si>
  <si>
    <t xml:space="preserve">Lots carry expiry and alert dates; reports list expiry per lot.</t>
  </si>
  <si>
    <t xml:space="preserve">INV-006</t>
  </si>
  <si>
    <t xml:space="preserve">FEFO picking</t>
  </si>
  <si>
    <t xml:space="preserve">Remove expiry-tracked stock first-expiry-first-out.</t>
  </si>
  <si>
    <t xml:space="preserve">TC-026</t>
  </si>
  <si>
    <t xml:space="preserve">A delivery of an expiry-tracked product reserves the lot with the earliest expiry first.</t>
  </si>
  <si>
    <t xml:space="preserve">INV-007</t>
  </si>
  <si>
    <t xml:space="preserve">Expiry alerts and near-expiry report</t>
  </si>
  <si>
    <t xml:space="preserve">Alert on lots expiring within 60 days and provide a near-expiry/expired report.</t>
  </si>
  <si>
    <t xml:space="preserve">TC-027</t>
  </si>
  <si>
    <t xml:space="preserve">Lots within 60 days of expiry are flagged and listed; expired lots cannot be sold.</t>
  </si>
  <si>
    <t xml:space="preserve">INV-008</t>
  </si>
  <si>
    <t xml:space="preserve">Internal transfers between warehouses</t>
  </si>
  <si>
    <t xml:space="preserve">Move stock between warehouses with in-transit visibility and no double counting.</t>
  </si>
  <si>
    <t xml:space="preserve">Transfers</t>
  </si>
  <si>
    <t xml:space="preserve">TC-028</t>
  </si>
  <si>
    <t xml:space="preserve">A transfer reduces the source and increases the destination; company-wide stock is unchanged.</t>
  </si>
  <si>
    <t xml:space="preserve">INV-009</t>
  </si>
  <si>
    <t xml:space="preserve">Quarantine transfer for failed/near-expiry stock</t>
  </si>
  <si>
    <t xml:space="preserve">Isolate failed, damaged and near-expiry stock in the Quarantine &amp; Returns warehouse, excluded from sale.</t>
  </si>
  <si>
    <t xml:space="preserve">Quarantine</t>
  </si>
  <si>
    <t xml:space="preserve">TC-029</t>
  </si>
  <si>
    <t xml:space="preserve">Quarantined stock is not reservable for deliveries and appears in the QRT warehouse.</t>
  </si>
  <si>
    <t xml:space="preserve">INV-010</t>
  </si>
  <si>
    <t xml:space="preserve">Scrap with reason and loss account</t>
  </si>
  <si>
    <t xml:space="preserve">Scrap damaged or expired stock with a reason mapped to loss accounts 540300/540200.</t>
  </si>
  <si>
    <t xml:space="preserve">Write-offs</t>
  </si>
  <si>
    <t xml:space="preserve">TC-030</t>
  </si>
  <si>
    <t xml:space="preserve">A scrap order posts Dr loss account / Cr inventory at FIFO cost.</t>
  </si>
  <si>
    <t xml:space="preserve">INV-011</t>
  </si>
  <si>
    <t xml:space="preserve">Physical count adjustments</t>
  </si>
  <si>
    <t xml:space="preserve">Perform cycle counts and post adjustments to account 540100.</t>
  </si>
  <si>
    <t xml:space="preserve">Counting</t>
  </si>
  <si>
    <t xml:space="preserve">TC-031, TC-077</t>
  </si>
  <si>
    <t xml:space="preserve">An approved adjustment changes on-hand and posts a valuation entry to 540100.</t>
  </si>
  <si>
    <t xml:space="preserve">INV-012</t>
  </si>
  <si>
    <t xml:space="preserve">Min/max reordering rules</t>
  </si>
  <si>
    <t xml:space="preserve">Define min/max per product and warehouse with vendor lead times.</t>
  </si>
  <si>
    <t xml:space="preserve">TC-032</t>
  </si>
  <si>
    <t xml:space="preserve">Reordering rules exist for every stocked product with values from the Products workbook.</t>
  </si>
  <si>
    <t xml:space="preserve">INV-013</t>
  </si>
  <si>
    <t xml:space="preserve">Lot/serial traceability and recall</t>
  </si>
  <si>
    <t xml:space="preserve">Trace any lot or serial upstream (vendor receipt) and downstream (customers) to support recalls.</t>
  </si>
  <si>
    <t xml:space="preserve">TC-033</t>
  </si>
  <si>
    <t xml:space="preserve">The traceability report for a lot lists its receipt, transfers and customer deliveries.</t>
  </si>
  <si>
    <t xml:space="preserve">INV-014</t>
  </si>
  <si>
    <t xml:space="preserve">Two-step delivery (Pick → Ship)</t>
  </si>
  <si>
    <t xml:space="preserve">Pick from Stock to Output then ship to the customer.</t>
  </si>
  <si>
    <t xml:space="preserve">Delivery</t>
  </si>
  <si>
    <t xml:space="preserve">TC-034</t>
  </si>
  <si>
    <t xml:space="preserve">Delivery creates pick and ship steps; stock reduces at ship.</t>
  </si>
  <si>
    <t xml:space="preserve">INV-015</t>
  </si>
  <si>
    <t xml:space="preserve">Negative stock prevention</t>
  </si>
  <si>
    <t xml:space="preserve">Prevent validation of deliveries exceeding available stock.</t>
  </si>
  <si>
    <t xml:space="preserve">Controls</t>
  </si>
  <si>
    <t xml:space="preserve">TC-035</t>
  </si>
  <si>
    <t xml:space="preserve">A delivery for more than on-hand quantity cannot be validated (negative stock disabled on locations/products).</t>
  </si>
  <si>
    <t xml:space="preserve">INV-016</t>
  </si>
  <si>
    <t xml:space="preserve">Barcode scanning (optional)</t>
  </si>
  <si>
    <t xml:space="preserve">Use barcodes for receipt, picking and counts.</t>
  </si>
  <si>
    <t xml:space="preserve">Barcode</t>
  </si>
  <si>
    <t xml:space="preserve">Optional app</t>
  </si>
  <si>
    <t xml:space="preserve">TC-036</t>
  </si>
  <si>
    <t xml:space="preserve">Scanning an EAN-13 product barcode selects the product on operations.</t>
  </si>
  <si>
    <t xml:space="preserve">INV-017</t>
  </si>
  <si>
    <t xml:space="preserve">Inventory valuation by warehouse and category</t>
  </si>
  <si>
    <t xml:space="preserve">Report quantity and value by warehouse, category and lot.</t>
  </si>
  <si>
    <t xml:space="preserve">Valuation</t>
  </si>
  <si>
    <t xml:space="preserve">TC-037</t>
  </si>
  <si>
    <t xml:space="preserve">The valuation report total equals accounts 130100+130200+130300.</t>
  </si>
  <si>
    <t xml:space="preserve">ACC-001</t>
  </si>
  <si>
    <t xml:space="preserve">Customer invoice posting</t>
  </si>
  <si>
    <t xml:space="preserve">Post invoices from delivered quantities with VAT and analytic branch.</t>
  </si>
  <si>
    <t xml:space="preserve">Accounting</t>
  </si>
  <si>
    <t xml:space="preserve">TC-038</t>
  </si>
  <si>
    <t xml:space="preserve">A posted invoice debits 120100 and credits revenue and 220100 and carries a sequence INV/2026/#####.</t>
  </si>
  <si>
    <t xml:space="preserve">ACC-002</t>
  </si>
  <si>
    <t xml:space="preserve">Vendor bill posting</t>
  </si>
  <si>
    <t xml:space="preserve">Post vendor bills against receipts with input VAT.</t>
  </si>
  <si>
    <t xml:space="preserve">TC-039</t>
  </si>
  <si>
    <t xml:space="preserve">A posted bill debits GRNI (210500) and 140300 and credits 210100.</t>
  </si>
  <si>
    <t xml:space="preserve">ACC-003</t>
  </si>
  <si>
    <t xml:space="preserve">Payment registration and reconciliation</t>
  </si>
  <si>
    <t xml:space="preserve">Register customer receipts and vendor payments in bank/cash journals and reconcile to invoices/bills.</t>
  </si>
  <si>
    <t xml:space="preserve">Payments</t>
  </si>
  <si>
    <t xml:space="preserve">TC-040</t>
  </si>
  <si>
    <t xml:space="preserve">Payment reconciles the invoice to zero balance; partial payments keep the balance open.</t>
  </si>
  <si>
    <t xml:space="preserve">ACC-004</t>
  </si>
  <si>
    <t xml:space="preserve">Credit and debit notes</t>
  </si>
  <si>
    <t xml:space="preserve">Issue credit notes (customer) and debit notes (vendor) linked to the original document.</t>
  </si>
  <si>
    <t xml:space="preserve">TC-041</t>
  </si>
  <si>
    <t xml:space="preserve">Notes reverse revenue/VAT or payable/VAT accordingly and reduce the open balance.</t>
  </si>
  <si>
    <t xml:space="preserve">ACC-005</t>
  </si>
  <si>
    <t xml:space="preserve">Automated inventory valuation and COGS</t>
  </si>
  <si>
    <t xml:space="preserve">Record stock valuation and COGS entries automatically (FIFO, Anglo-Saxon).</t>
  </si>
  <si>
    <t xml:space="preserve">TC-042</t>
  </si>
  <si>
    <t xml:space="preserve">Delivery/invoice produce COGS at FIFO cost; valuation equals stock ledger value.</t>
  </si>
  <si>
    <t xml:space="preserve">ACC-006</t>
  </si>
  <si>
    <t xml:space="preserve">VAT 14% configuration</t>
  </si>
  <si>
    <t xml:space="preserve">Configure sales and purchase VAT 14% with accounts 220100/140300 and a VAT report.</t>
  </si>
  <si>
    <t xml:space="preserve">Tax</t>
  </si>
  <si>
    <t xml:space="preserve">TC-043</t>
  </si>
  <si>
    <t xml:space="preserve">VAT computed at 14% on net; VAT report totals equal the tax accounts.</t>
  </si>
  <si>
    <t xml:space="preserve">ACC-007</t>
  </si>
  <si>
    <t xml:space="preserve">Branch reporting via analytic plan</t>
  </si>
  <si>
    <t xml:space="preserve">Report P&amp;L by branch using the Branch analytic plan.</t>
  </si>
  <si>
    <t xml:space="preserve">TC-044</t>
  </si>
  <si>
    <t xml:space="preserve">P&amp;L can be filtered by branch; branch totals add up to the company total.</t>
  </si>
  <si>
    <t xml:space="preserve">ACC-008</t>
  </si>
  <si>
    <t xml:space="preserve">Month-end close and lock dates</t>
  </si>
  <si>
    <t xml:space="preserve">Lock periods after month-end close and VAT filing.</t>
  </si>
  <si>
    <t xml:space="preserve">Period Close</t>
  </si>
  <si>
    <t xml:space="preserve">TC-045</t>
  </si>
  <si>
    <t xml:space="preserve">Posting before the lock date is blocked for non-advisers.</t>
  </si>
  <si>
    <t xml:space="preserve">ACC-009</t>
  </si>
  <si>
    <t xml:space="preserve">Aged receivables and payables</t>
  </si>
  <si>
    <t xml:space="preserve">Show ageing buckets for receivables and payables.</t>
  </si>
  <si>
    <t xml:space="preserve">TC-046</t>
  </si>
  <si>
    <t xml:space="preserve">Aged reports total to accounts 120100 and 210100.</t>
  </si>
  <si>
    <t xml:space="preserve">ACC-010</t>
  </si>
  <si>
    <t xml:space="preserve">Chart of accounts and journals</t>
  </si>
  <si>
    <t xml:space="preserve">Load the proposed chart of accounts and journals (INV, BILL, STJ, MISC, OPEN, CIB1, NBE1, CSH1-3).</t>
  </si>
  <si>
    <t xml:space="preserve">TC-047</t>
  </si>
  <si>
    <t xml:space="preserve">All accounts import with correct types; no duplicate codes; journals map to accounts.</t>
  </si>
  <si>
    <t xml:space="preserve">ACC-011</t>
  </si>
  <si>
    <t xml:space="preserve">Bank statement reconciliation</t>
  </si>
  <si>
    <t xml:space="preserve">Import bank statements for CIB/NBE and reconcile.</t>
  </si>
  <si>
    <t xml:space="preserve">Bank</t>
  </si>
  <si>
    <t xml:space="preserve">TC-048</t>
  </si>
  <si>
    <t xml:space="preserve">Imported lines match to payments or are manually matched; suspense is zero after reconciliation.</t>
  </si>
  <si>
    <t xml:space="preserve">ACC-012</t>
  </si>
  <si>
    <t xml:space="preserve">Inventory-to-GL reconciliation</t>
  </si>
  <si>
    <t xml:space="preserve">Reconcile stock valuation report to GL inventory accounts at period end.</t>
  </si>
  <si>
    <t xml:space="preserve">Manual procedure</t>
  </si>
  <si>
    <t xml:space="preserve">TC-049</t>
  </si>
  <si>
    <t xml:space="preserve">Difference between valuation report and GL accounts is zero or explained.</t>
  </si>
  <si>
    <t xml:space="preserve">RPT-001</t>
  </si>
  <si>
    <t xml:space="preserve">Sales analysis by branch and category</t>
  </si>
  <si>
    <t xml:space="preserve">Sales report with grouping by branch, customer class, category and month.</t>
  </si>
  <si>
    <t xml:space="preserve">Management</t>
  </si>
  <si>
    <t xml:space="preserve">TC-050</t>
  </si>
  <si>
    <t xml:space="preserve">Report totals equal posted invoices net of credit notes.</t>
  </si>
  <si>
    <t xml:space="preserve">RPT-002</t>
  </si>
  <si>
    <t xml:space="preserve">Management KPI dashboard</t>
  </si>
  <si>
    <t xml:space="preserve">Dashboard with sales, gross margin, receivables, stock value, near-expiry value and stock-outs.</t>
  </si>
  <si>
    <t xml:space="preserve">TC-051</t>
  </si>
  <si>
    <t xml:space="preserve">Dashboard displays KPIs defined in the BRD and refreshes from live data.</t>
  </si>
  <si>
    <t xml:space="preserve">RPT-003</t>
  </si>
  <si>
    <t xml:space="preserve">Gross profit by product category</t>
  </si>
  <si>
    <t xml:space="preserve">Margin analysis by category using invoice and COGS data.</t>
  </si>
  <si>
    <t xml:space="preserve">TC-060</t>
  </si>
  <si>
    <t xml:space="preserve">Margin matches the Monthly Business Summary logic.</t>
  </si>
  <si>
    <t xml:space="preserve">RPT-004</t>
  </si>
  <si>
    <t xml:space="preserve">Customer statements and open items</t>
  </si>
  <si>
    <t xml:space="preserve">Customer statement PDF with open invoices in Arabic/English.</t>
  </si>
  <si>
    <t xml:space="preserve">TC-061</t>
  </si>
  <si>
    <t xml:space="preserve">Statement lists open invoices and totals agree with partner ledger.</t>
  </si>
  <si>
    <t xml:space="preserve">SEC-001</t>
  </si>
  <si>
    <t xml:space="preserve">Role-based access groups</t>
  </si>
  <si>
    <t xml:space="preserve">Define groups for Sales, Purchase, Warehouse, Quality, Accounting and Administration with least privilege.</t>
  </si>
  <si>
    <t xml:space="preserve">Access Control</t>
  </si>
  <si>
    <t xml:space="preserve">Security</t>
  </si>
  <si>
    <t xml:space="preserve">TC-062</t>
  </si>
  <si>
    <t xml:space="preserve">Each role can access only the menus assigned to it.</t>
  </si>
  <si>
    <t xml:space="preserve">SEC-002</t>
  </si>
  <si>
    <t xml:space="preserve">Branch/warehouse data restriction</t>
  </si>
  <si>
    <t xml:space="preserve">Restrict users to records of their branch/warehouse where required.</t>
  </si>
  <si>
    <t xml:space="preserve">TC-063</t>
  </si>
  <si>
    <t xml:space="preserve">A Maadi user sees only Maadi-branch documents; a limitation is documented where standard access rules are insufficient.</t>
  </si>
  <si>
    <t xml:space="preserve">SEC-003</t>
  </si>
  <si>
    <t xml:space="preserve">Audit trail</t>
  </si>
  <si>
    <t xml:space="preserve">Track changes on key fields (prices, credit limits, lots) via chatter and logs.</t>
  </si>
  <si>
    <t xml:space="preserve">Audit</t>
  </si>
  <si>
    <t xml:space="preserve">TC-064</t>
  </si>
  <si>
    <t xml:space="preserve">Changes to tracked fields show user and timestamp.</t>
  </si>
  <si>
    <t xml:space="preserve">SEC-004</t>
  </si>
  <si>
    <t xml:space="preserve">Approval controls and segregation of duties</t>
  </si>
  <si>
    <t xml:space="preserve">Separate creation, approval and payment duties for POs, bills and payments.</t>
  </si>
  <si>
    <t xml:space="preserve">Approvals</t>
  </si>
  <si>
    <t xml:space="preserve">TC-065</t>
  </si>
  <si>
    <t xml:space="preserve">A user cannot approve a document they created if the segregation rule is enabled.</t>
  </si>
  <si>
    <t xml:space="preserve">SEC-005</t>
  </si>
  <si>
    <t xml:space="preserve">Backup and restore</t>
  </si>
  <si>
    <t xml:space="preserve">Daily database and filestore backup with a tested restore.</t>
  </si>
  <si>
    <t xml:space="preserve">Continuity</t>
  </si>
  <si>
    <t xml:space="preserve">IT / Odoo Administrator</t>
  </si>
  <si>
    <t xml:space="preserve">TC-066</t>
  </si>
  <si>
    <t xml:space="preserve">A backup restores to a test database and key counts match.</t>
  </si>
  <si>
    <t xml:space="preserve">NFR-001</t>
  </si>
  <si>
    <t xml:space="preserve">Arabic and English with RTL printing</t>
  </si>
  <si>
    <t xml:space="preserve">Arabic and English UI and printed documents with proper RTL layout.</t>
  </si>
  <si>
    <t xml:space="preserve">Localization</t>
  </si>
  <si>
    <t xml:space="preserve">Non-functional</t>
  </si>
  <si>
    <t xml:space="preserve">Sales &amp; CRM</t>
  </si>
  <si>
    <t xml:space="preserve">TC-067</t>
  </si>
  <si>
    <t xml:space="preserve">Documents print in Arabic with RTL alignment; users switch language per profile.</t>
  </si>
  <si>
    <t xml:space="preserve">NFR-002</t>
  </si>
  <si>
    <t xml:space="preserve">Egyptian timezone and formats</t>
  </si>
  <si>
    <t xml:space="preserve">Africa/Cairo timezone, EGP currency with 2 decimals and date format DD/MM/YYYY.</t>
  </si>
  <si>
    <t xml:space="preserve">TC-068</t>
  </si>
  <si>
    <t xml:space="preserve">Dates display DD/MM/YYYY in Cairo time; amounts show EGP with 2 decimals.</t>
  </si>
  <si>
    <t xml:space="preserve">NFR-003</t>
  </si>
  <si>
    <t xml:space="preserve">Response time for common screens</t>
  </si>
  <si>
    <t xml:space="preserve">Standard screens open within 3 seconds for the simulated data volume.</t>
  </si>
  <si>
    <t xml:space="preserve">Performance</t>
  </si>
  <si>
    <t xml:space="preserve">TC-069</t>
  </si>
  <si>
    <t xml:space="preserve">Measured on test server: list view of 1,000 lines &lt; 3 s.</t>
  </si>
  <si>
    <t xml:space="preserve">NFR-004</t>
  </si>
  <si>
    <t xml:space="preserve">Role-based user training</t>
  </si>
  <si>
    <t xml:space="preserve">Provide user guides and training so each role completes core tasks unaided.</t>
  </si>
  <si>
    <t xml:space="preserve">Usability</t>
  </si>
  <si>
    <t xml:space="preserve">Purchase, Quality &amp; Testing</t>
  </si>
  <si>
    <t xml:space="preserve">TC-070</t>
  </si>
  <si>
    <t xml:space="preserve">Each trainee completes the scripted tasks for their role.</t>
  </si>
  <si>
    <t xml:space="preserve">MIG-001</t>
  </si>
  <si>
    <t xml:space="preserve">Chart of accounts and journals import</t>
  </si>
  <si>
    <t xml:space="preserve">Import the proposed chart of accounts and journals.</t>
  </si>
  <si>
    <t xml:space="preserve">Data Migration</t>
  </si>
  <si>
    <t xml:space="preserve">Migration</t>
  </si>
  <si>
    <t xml:space="preserve">Inventory &amp; Data Upload</t>
  </si>
  <si>
    <t xml:space="preserve">TC-071</t>
  </si>
  <si>
    <t xml:space="preserve">Imported count equals the CSV; no errors.</t>
  </si>
  <si>
    <t xml:space="preserve">MIG-002</t>
  </si>
  <si>
    <t xml:space="preserve">Products and categories import</t>
  </si>
  <si>
    <t xml:space="preserve">Import categories, products, barcodes, tracking settings and reordering rules.</t>
  </si>
  <si>
    <t xml:space="preserve">TC-072</t>
  </si>
  <si>
    <t xml:space="preserve">Imported product count and tracking flags match the Products workbook.</t>
  </si>
  <si>
    <t xml:space="preserve">MIG-003</t>
  </si>
  <si>
    <t xml:space="preserve">Customers and vendors import</t>
  </si>
  <si>
    <t xml:space="preserve">Import partners with terms, credit limits and tax-ID placeholders.</t>
  </si>
  <si>
    <t xml:space="preserve">TC-073</t>
  </si>
  <si>
    <t xml:space="preserve">Partner counts and terms match the Partners workbook.</t>
  </si>
  <si>
    <t xml:space="preserve">MIG-004</t>
  </si>
  <si>
    <t xml:space="preserve">Opening stock with lots and serials</t>
  </si>
  <si>
    <t xml:space="preserve">Load opening stock per warehouse with lots/serials via inventory adjustment import.</t>
  </si>
  <si>
    <t xml:space="preserve">TC-074</t>
  </si>
  <si>
    <t xml:space="preserve">Opening quantity and value per warehouse equal the opening balance sheet.</t>
  </si>
  <si>
    <t xml:space="preserve">MIG-005</t>
  </si>
  <si>
    <t xml:space="preserve">Historical transaction loading</t>
  </si>
  <si>
    <t xml:space="preserve">Load five months of history as completed documents or summarized entries.</t>
  </si>
  <si>
    <t xml:space="preserve">TC-075</t>
  </si>
  <si>
    <t xml:space="preserve">History is loaded or summarized per documented limitation; totals reconcile to the trial balance.</t>
  </si>
  <si>
    <t xml:space="preserve">Traceability summary (formulas)</t>
  </si>
  <si>
    <t xml:space="preserve">Total requirements</t>
  </si>
  <si>
    <t xml:space="preserve">Requirements with a test case</t>
  </si>
  <si>
    <t xml:space="preserve">Requirements without a test case</t>
  </si>
  <si>
    <t xml:space="preserve">Flagged: customization / verification needed</t>
  </si>
  <si>
    <t xml:space="preserve">Total test case links</t>
  </si>
  <si>
    <t xml:space="preserve">By module</t>
  </si>
  <si>
    <t xml:space="preserve">Module</t>
  </si>
  <si>
    <t xml:space="preserve">Requirements</t>
  </si>
  <si>
    <t xml:space="preserve">Flagged</t>
  </si>
  <si>
    <t xml:space="preserve">Pending verification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</si>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</sst>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102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C8102E"/>
      <name val="Arial"/>
      <family val="0"/>
      <charset val="1"/>
    </font>
    <font>
      <b val="true"/>
      <sz val="11"/>
      <color rgb="FFC810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8102E"/>
        <bgColor rgb="FFDC262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810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C262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RTM" displayName="tblRTM" ref="A1:M76" headerRowCount="1" totalsRowCount="0" totalsRowShown="0">
  <autoFilter ref="A1:M76"/>
  <tableColumns count="13">
    <tableColumn id="1" name="Requirement ID"/>
    <tableColumn id="2" name="Requirement"/>
    <tableColumn id="3" name="Business Requirement (description)"/>
    <tableColumn id="4" name="Business Process"/>
    <tableColumn id="5" name="Odoo Module"/>
    <tableColumn id="6" name="Standard / Customization"/>
    <tableColumn id="7" name="Customization or Verification Needed"/>
    <tableColumn id="8" name="Responsible Stakeholder"/>
    <tableColumn id="9" name="Test Case ID(s)"/>
    <tableColumn id="10" name="Acceptance Criteria"/>
    <tableColumn id="11" name="Validation Status"/>
    <tableColumn id="12" name="Test Coverage"/>
    <tableColumn id="13" name="# Test Cas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B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7" customFormat="false" ht="35.0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M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4" min="4" style="0" width="21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38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60"/>
    <col collapsed="false" customWidth="true" hidden="false" outlineLevel="0" max="11" min="11" style="0" width="30"/>
    <col collapsed="false" customWidth="true" hidden="false" outlineLevel="0" max="12" min="12" style="0" width="15"/>
    <col collapsed="false" customWidth="true" hidden="false" outlineLevel="0" max="13" min="13" style="0" width="14"/>
  </cols>
  <sheetData>
    <row r="1" customFormat="false" ht="31.5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</row>
    <row r="2" customFormat="false" ht="35.05" hidden="false" customHeight="false" outlineLevel="0" collapsed="false">
      <c r="A2" s="5" t="s">
        <v>28</v>
      </c>
      <c r="B2" s="6" t="s">
        <v>29</v>
      </c>
      <c r="C2" s="6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6" t="s">
        <v>37</v>
      </c>
      <c r="K2" s="5" t="s">
        <v>38</v>
      </c>
      <c r="L2" s="5" t="str">
        <f aca="false">IF(I2="","NO TEST","Covered")</f>
        <v>Covered</v>
      </c>
      <c r="M2" s="5" t="n">
        <f aca="false">LEN(I2)-LEN(SUBSTITUTE(I2,",",""))+1</f>
        <v>1</v>
      </c>
    </row>
    <row r="3" customFormat="false" ht="23.85" hidden="false" customHeight="false" outlineLevel="0" collapsed="false">
      <c r="A3" s="5" t="s">
        <v>39</v>
      </c>
      <c r="B3" s="6" t="s">
        <v>40</v>
      </c>
      <c r="C3" s="6" t="s">
        <v>41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42</v>
      </c>
      <c r="I3" s="5" t="s">
        <v>43</v>
      </c>
      <c r="J3" s="6" t="s">
        <v>44</v>
      </c>
      <c r="K3" s="5" t="s">
        <v>38</v>
      </c>
      <c r="L3" s="5" t="str">
        <f aca="false">IF(I3="","NO TEST","Covered")</f>
        <v>Covered</v>
      </c>
      <c r="M3" s="5" t="n">
        <f aca="false">LEN(I3)-LEN(SUBSTITUTE(I3,",",""))+1</f>
        <v>1</v>
      </c>
    </row>
    <row r="4" customFormat="false" ht="23.85" hidden="false" customHeight="false" outlineLevel="0" collapsed="false">
      <c r="A4" s="5" t="s">
        <v>45</v>
      </c>
      <c r="B4" s="6" t="s">
        <v>46</v>
      </c>
      <c r="C4" s="6" t="s">
        <v>47</v>
      </c>
      <c r="D4" s="5" t="s">
        <v>31</v>
      </c>
      <c r="E4" s="5" t="s">
        <v>32</v>
      </c>
      <c r="F4" s="5" t="s">
        <v>33</v>
      </c>
      <c r="G4" s="5" t="s">
        <v>48</v>
      </c>
      <c r="H4" s="5" t="s">
        <v>49</v>
      </c>
      <c r="I4" s="5" t="s">
        <v>50</v>
      </c>
      <c r="J4" s="6" t="s">
        <v>51</v>
      </c>
      <c r="K4" s="5" t="s">
        <v>52</v>
      </c>
      <c r="L4" s="5" t="str">
        <f aca="false">IF(I4="","NO TEST","Covered")</f>
        <v>Covered</v>
      </c>
      <c r="M4" s="5" t="n">
        <f aca="false">LEN(I4)-LEN(SUBSTITUTE(I4,",",""))+1</f>
        <v>1</v>
      </c>
    </row>
    <row r="5" customFormat="false" ht="23.85" hidden="false" customHeight="false" outlineLevel="0" collapsed="false">
      <c r="A5" s="5" t="s">
        <v>53</v>
      </c>
      <c r="B5" s="6" t="s">
        <v>54</v>
      </c>
      <c r="C5" s="6" t="s">
        <v>55</v>
      </c>
      <c r="D5" s="5" t="s">
        <v>56</v>
      </c>
      <c r="E5" s="5" t="s">
        <v>32</v>
      </c>
      <c r="F5" s="5" t="s">
        <v>57</v>
      </c>
      <c r="G5" s="5" t="s">
        <v>48</v>
      </c>
      <c r="H5" s="5" t="s">
        <v>49</v>
      </c>
      <c r="I5" s="5" t="s">
        <v>58</v>
      </c>
      <c r="J5" s="6" t="s">
        <v>59</v>
      </c>
      <c r="K5" s="5" t="s">
        <v>52</v>
      </c>
      <c r="L5" s="5" t="str">
        <f aca="false">IF(I5="","NO TEST","Covered")</f>
        <v>Covered</v>
      </c>
      <c r="M5" s="5" t="n">
        <f aca="false">LEN(I5)-LEN(SUBSTITUTE(I5,",",""))+1</f>
        <v>1</v>
      </c>
    </row>
    <row r="6" customFormat="false" ht="23.85" hidden="false" customHeight="false" outlineLevel="0" collapsed="false">
      <c r="A6" s="5" t="s">
        <v>60</v>
      </c>
      <c r="B6" s="6" t="s">
        <v>61</v>
      </c>
      <c r="C6" s="6" t="s">
        <v>62</v>
      </c>
      <c r="D6" s="5" t="s">
        <v>63</v>
      </c>
      <c r="E6" s="5" t="s">
        <v>64</v>
      </c>
      <c r="F6" s="5" t="s">
        <v>65</v>
      </c>
      <c r="G6" s="5" t="s">
        <v>34</v>
      </c>
      <c r="H6" s="5" t="s">
        <v>35</v>
      </c>
      <c r="I6" s="5" t="s">
        <v>66</v>
      </c>
      <c r="J6" s="6" t="s">
        <v>67</v>
      </c>
      <c r="K6" s="5" t="s">
        <v>38</v>
      </c>
      <c r="L6" s="5" t="str">
        <f aca="false">IF(I6="","NO TEST","Covered")</f>
        <v>Covered</v>
      </c>
      <c r="M6" s="5" t="n">
        <f aca="false">LEN(I6)-LEN(SUBSTITUTE(I6,",",""))+1</f>
        <v>1</v>
      </c>
    </row>
    <row r="7" customFormat="false" ht="23.85" hidden="false" customHeight="false" outlineLevel="0" collapsed="false">
      <c r="A7" s="5" t="s">
        <v>68</v>
      </c>
      <c r="B7" s="6" t="s">
        <v>69</v>
      </c>
      <c r="C7" s="6" t="s">
        <v>70</v>
      </c>
      <c r="D7" s="5" t="s">
        <v>63</v>
      </c>
      <c r="E7" s="5" t="s">
        <v>64</v>
      </c>
      <c r="F7" s="5" t="s">
        <v>57</v>
      </c>
      <c r="G7" s="5" t="s">
        <v>48</v>
      </c>
      <c r="H7" s="5" t="s">
        <v>35</v>
      </c>
      <c r="I7" s="5" t="s">
        <v>71</v>
      </c>
      <c r="J7" s="6" t="s">
        <v>72</v>
      </c>
      <c r="K7" s="5" t="s">
        <v>52</v>
      </c>
      <c r="L7" s="5" t="str">
        <f aca="false">IF(I7="","NO TEST","Covered")</f>
        <v>Covered</v>
      </c>
      <c r="M7" s="5" t="n">
        <f aca="false">LEN(I7)-LEN(SUBSTITUTE(I7,",",""))+1</f>
        <v>1</v>
      </c>
    </row>
    <row r="8" customFormat="false" ht="23.85" hidden="false" customHeight="false" outlineLevel="0" collapsed="false">
      <c r="A8" s="5" t="s">
        <v>73</v>
      </c>
      <c r="B8" s="6" t="s">
        <v>74</v>
      </c>
      <c r="C8" s="6" t="s">
        <v>75</v>
      </c>
      <c r="D8" s="5" t="s">
        <v>63</v>
      </c>
      <c r="E8" s="5" t="s">
        <v>64</v>
      </c>
      <c r="F8" s="5" t="s">
        <v>65</v>
      </c>
      <c r="G8" s="5" t="s">
        <v>34</v>
      </c>
      <c r="H8" s="5" t="s">
        <v>76</v>
      </c>
      <c r="I8" s="5" t="s">
        <v>77</v>
      </c>
      <c r="J8" s="6" t="s">
        <v>78</v>
      </c>
      <c r="K8" s="5" t="s">
        <v>38</v>
      </c>
      <c r="L8" s="5" t="str">
        <f aca="false">IF(I8="","NO TEST","Covered")</f>
        <v>Covered</v>
      </c>
      <c r="M8" s="5" t="n">
        <f aca="false">LEN(I8)-LEN(SUBSTITUTE(I8,",",""))+1</f>
        <v>1</v>
      </c>
    </row>
    <row r="9" customFormat="false" ht="23.85" hidden="false" customHeight="false" outlineLevel="0" collapsed="false">
      <c r="A9" s="5" t="s">
        <v>79</v>
      </c>
      <c r="B9" s="6" t="s">
        <v>80</v>
      </c>
      <c r="C9" s="6" t="s">
        <v>81</v>
      </c>
      <c r="D9" s="5" t="s">
        <v>63</v>
      </c>
      <c r="E9" s="5" t="s">
        <v>64</v>
      </c>
      <c r="F9" s="5" t="s">
        <v>65</v>
      </c>
      <c r="G9" s="5" t="s">
        <v>34</v>
      </c>
      <c r="H9" s="5" t="s">
        <v>76</v>
      </c>
      <c r="I9" s="5" t="s">
        <v>82</v>
      </c>
      <c r="J9" s="6" t="s">
        <v>83</v>
      </c>
      <c r="K9" s="5" t="s">
        <v>38</v>
      </c>
      <c r="L9" s="5" t="str">
        <f aca="false">IF(I9="","NO TEST","Covered")</f>
        <v>Covered</v>
      </c>
      <c r="M9" s="5" t="n">
        <f aca="false">LEN(I9)-LEN(SUBSTITUTE(I9,",",""))+1</f>
        <v>1</v>
      </c>
    </row>
    <row r="10" customFormat="false" ht="23.85" hidden="false" customHeight="false" outlineLevel="0" collapsed="false">
      <c r="A10" s="5" t="s">
        <v>84</v>
      </c>
      <c r="B10" s="6" t="s">
        <v>85</v>
      </c>
      <c r="C10" s="6" t="s">
        <v>86</v>
      </c>
      <c r="D10" s="5" t="s">
        <v>87</v>
      </c>
      <c r="E10" s="5" t="s">
        <v>64</v>
      </c>
      <c r="F10" s="5" t="s">
        <v>33</v>
      </c>
      <c r="G10" s="5" t="s">
        <v>48</v>
      </c>
      <c r="H10" s="5" t="s">
        <v>88</v>
      </c>
      <c r="I10" s="5" t="s">
        <v>89</v>
      </c>
      <c r="J10" s="6" t="s">
        <v>90</v>
      </c>
      <c r="K10" s="5" t="s">
        <v>52</v>
      </c>
      <c r="L10" s="5" t="str">
        <f aca="false">IF(I10="","NO TEST","Covered")</f>
        <v>Covered</v>
      </c>
      <c r="M10" s="5" t="n">
        <f aca="false">LEN(I10)-LEN(SUBSTITUTE(I10,",",""))+1</f>
        <v>1</v>
      </c>
    </row>
    <row r="11" customFormat="false" ht="15" hidden="false" customHeight="false" outlineLevel="0" collapsed="false">
      <c r="A11" s="5" t="s">
        <v>91</v>
      </c>
      <c r="B11" s="6" t="s">
        <v>92</v>
      </c>
      <c r="C11" s="6" t="s">
        <v>93</v>
      </c>
      <c r="D11" s="5" t="s">
        <v>94</v>
      </c>
      <c r="E11" s="5" t="s">
        <v>64</v>
      </c>
      <c r="F11" s="5" t="s">
        <v>65</v>
      </c>
      <c r="G11" s="5" t="s">
        <v>34</v>
      </c>
      <c r="H11" s="5" t="s">
        <v>35</v>
      </c>
      <c r="I11" s="5" t="s">
        <v>95</v>
      </c>
      <c r="J11" s="6" t="s">
        <v>96</v>
      </c>
      <c r="K11" s="5" t="s">
        <v>38</v>
      </c>
      <c r="L11" s="5" t="str">
        <f aca="false">IF(I11="","NO TEST","Covered")</f>
        <v>Covered</v>
      </c>
      <c r="M11" s="5" t="n">
        <f aca="false">LEN(I11)-LEN(SUBSTITUTE(I11,",",""))+1</f>
        <v>1</v>
      </c>
    </row>
    <row r="12" customFormat="false" ht="23.85" hidden="false" customHeight="false" outlineLevel="0" collapsed="false">
      <c r="A12" s="5" t="s">
        <v>97</v>
      </c>
      <c r="B12" s="6" t="s">
        <v>98</v>
      </c>
      <c r="C12" s="6" t="s">
        <v>99</v>
      </c>
      <c r="D12" s="5" t="s">
        <v>100</v>
      </c>
      <c r="E12" s="5" t="s">
        <v>64</v>
      </c>
      <c r="F12" s="5" t="s">
        <v>57</v>
      </c>
      <c r="G12" s="5" t="s">
        <v>48</v>
      </c>
      <c r="H12" s="5" t="s">
        <v>101</v>
      </c>
      <c r="I12" s="5" t="s">
        <v>102</v>
      </c>
      <c r="J12" s="6" t="s">
        <v>103</v>
      </c>
      <c r="K12" s="5" t="s">
        <v>52</v>
      </c>
      <c r="L12" s="5" t="str">
        <f aca="false">IF(I12="","NO TEST","Covered")</f>
        <v>Covered</v>
      </c>
      <c r="M12" s="5" t="n">
        <f aca="false">LEN(I12)-LEN(SUBSTITUTE(I12,",",""))+1</f>
        <v>1</v>
      </c>
    </row>
    <row r="13" customFormat="false" ht="23.85" hidden="false" customHeight="false" outlineLevel="0" collapsed="false">
      <c r="A13" s="5" t="s">
        <v>104</v>
      </c>
      <c r="B13" s="6" t="s">
        <v>105</v>
      </c>
      <c r="C13" s="6" t="s">
        <v>106</v>
      </c>
      <c r="D13" s="5" t="s">
        <v>107</v>
      </c>
      <c r="E13" s="5" t="s">
        <v>64</v>
      </c>
      <c r="F13" s="5" t="s">
        <v>65</v>
      </c>
      <c r="G13" s="5" t="s">
        <v>34</v>
      </c>
      <c r="H13" s="5" t="s">
        <v>76</v>
      </c>
      <c r="I13" s="5" t="s">
        <v>108</v>
      </c>
      <c r="J13" s="6" t="s">
        <v>109</v>
      </c>
      <c r="K13" s="5" t="s">
        <v>38</v>
      </c>
      <c r="L13" s="5" t="str">
        <f aca="false">IF(I13="","NO TEST","Covered")</f>
        <v>Covered</v>
      </c>
      <c r="M13" s="5" t="n">
        <f aca="false">LEN(I13)-LEN(SUBSTITUTE(I13,",",""))+1</f>
        <v>2</v>
      </c>
    </row>
    <row r="14" customFormat="false" ht="23.85" hidden="false" customHeight="false" outlineLevel="0" collapsed="false">
      <c r="A14" s="5" t="s">
        <v>110</v>
      </c>
      <c r="B14" s="6" t="s">
        <v>111</v>
      </c>
      <c r="C14" s="6" t="s">
        <v>112</v>
      </c>
      <c r="D14" s="5" t="s">
        <v>113</v>
      </c>
      <c r="E14" s="5" t="s">
        <v>64</v>
      </c>
      <c r="F14" s="5" t="s">
        <v>65</v>
      </c>
      <c r="G14" s="5" t="s">
        <v>34</v>
      </c>
      <c r="H14" s="5" t="s">
        <v>114</v>
      </c>
      <c r="I14" s="5" t="s">
        <v>115</v>
      </c>
      <c r="J14" s="6" t="s">
        <v>116</v>
      </c>
      <c r="K14" s="5" t="s">
        <v>38</v>
      </c>
      <c r="L14" s="5" t="str">
        <f aca="false">IF(I14="","NO TEST","Covered")</f>
        <v>Covered</v>
      </c>
      <c r="M14" s="5" t="n">
        <f aca="false">LEN(I14)-LEN(SUBSTITUTE(I14,",",""))+1</f>
        <v>1</v>
      </c>
    </row>
    <row r="15" customFormat="false" ht="23.85" hidden="false" customHeight="false" outlineLevel="0" collapsed="false">
      <c r="A15" s="5" t="s">
        <v>117</v>
      </c>
      <c r="B15" s="6" t="s">
        <v>118</v>
      </c>
      <c r="C15" s="6" t="s">
        <v>119</v>
      </c>
      <c r="D15" s="5" t="s">
        <v>120</v>
      </c>
      <c r="E15" s="5" t="s">
        <v>121</v>
      </c>
      <c r="F15" s="5" t="s">
        <v>65</v>
      </c>
      <c r="G15" s="5" t="s">
        <v>34</v>
      </c>
      <c r="H15" s="5" t="s">
        <v>35</v>
      </c>
      <c r="I15" s="5" t="s">
        <v>122</v>
      </c>
      <c r="J15" s="6" t="s">
        <v>123</v>
      </c>
      <c r="K15" s="5" t="s">
        <v>38</v>
      </c>
      <c r="L15" s="5" t="str">
        <f aca="false">IF(I15="","NO TEST","Covered")</f>
        <v>Covered</v>
      </c>
      <c r="M15" s="5" t="n">
        <f aca="false">LEN(I15)-LEN(SUBSTITUTE(I15,",",""))+1</f>
        <v>1</v>
      </c>
    </row>
    <row r="16" customFormat="false" ht="23.85" hidden="false" customHeight="false" outlineLevel="0" collapsed="false">
      <c r="A16" s="5" t="s">
        <v>124</v>
      </c>
      <c r="B16" s="6" t="s">
        <v>125</v>
      </c>
      <c r="C16" s="6" t="s">
        <v>126</v>
      </c>
      <c r="D16" s="5" t="s">
        <v>120</v>
      </c>
      <c r="E16" s="5" t="s">
        <v>121</v>
      </c>
      <c r="F16" s="5" t="s">
        <v>33</v>
      </c>
      <c r="G16" s="5" t="s">
        <v>34</v>
      </c>
      <c r="H16" s="5" t="s">
        <v>35</v>
      </c>
      <c r="I16" s="5" t="s">
        <v>127</v>
      </c>
      <c r="J16" s="6" t="s">
        <v>128</v>
      </c>
      <c r="K16" s="5" t="s">
        <v>38</v>
      </c>
      <c r="L16" s="5" t="str">
        <f aca="false">IF(I16="","NO TEST","Covered")</f>
        <v>Covered</v>
      </c>
      <c r="M16" s="5" t="n">
        <f aca="false">LEN(I16)-LEN(SUBSTITUTE(I16,",",""))+1</f>
        <v>1</v>
      </c>
    </row>
    <row r="17" customFormat="false" ht="23.85" hidden="false" customHeight="false" outlineLevel="0" collapsed="false">
      <c r="A17" s="5" t="s">
        <v>129</v>
      </c>
      <c r="B17" s="6" t="s">
        <v>130</v>
      </c>
      <c r="C17" s="6" t="s">
        <v>131</v>
      </c>
      <c r="D17" s="5" t="s">
        <v>120</v>
      </c>
      <c r="E17" s="5" t="s">
        <v>121</v>
      </c>
      <c r="F17" s="5" t="s">
        <v>65</v>
      </c>
      <c r="G17" s="5" t="s">
        <v>34</v>
      </c>
      <c r="H17" s="5" t="s">
        <v>35</v>
      </c>
      <c r="I17" s="5" t="s">
        <v>132</v>
      </c>
      <c r="J17" s="6" t="s">
        <v>133</v>
      </c>
      <c r="K17" s="5" t="s">
        <v>38</v>
      </c>
      <c r="L17" s="5" t="str">
        <f aca="false">IF(I17="","NO TEST","Covered")</f>
        <v>Covered</v>
      </c>
      <c r="M17" s="5" t="n">
        <f aca="false">LEN(I17)-LEN(SUBSTITUTE(I17,",",""))+1</f>
        <v>1</v>
      </c>
    </row>
    <row r="18" customFormat="false" ht="23.85" hidden="false" customHeight="false" outlineLevel="0" collapsed="false">
      <c r="A18" s="5" t="s">
        <v>134</v>
      </c>
      <c r="B18" s="6" t="s">
        <v>135</v>
      </c>
      <c r="C18" s="6" t="s">
        <v>136</v>
      </c>
      <c r="D18" s="5" t="s">
        <v>87</v>
      </c>
      <c r="E18" s="5" t="s">
        <v>121</v>
      </c>
      <c r="F18" s="5" t="s">
        <v>33</v>
      </c>
      <c r="G18" s="5" t="s">
        <v>34</v>
      </c>
      <c r="H18" s="5" t="s">
        <v>88</v>
      </c>
      <c r="I18" s="5" t="s">
        <v>137</v>
      </c>
      <c r="J18" s="6" t="s">
        <v>138</v>
      </c>
      <c r="K18" s="5" t="s">
        <v>38</v>
      </c>
      <c r="L18" s="5" t="str">
        <f aca="false">IF(I18="","NO TEST","Covered")</f>
        <v>Covered</v>
      </c>
      <c r="M18" s="5" t="n">
        <f aca="false">LEN(I18)-LEN(SUBSTITUTE(I18,",",""))+1</f>
        <v>1</v>
      </c>
    </row>
    <row r="19" customFormat="false" ht="23.85" hidden="false" customHeight="false" outlineLevel="0" collapsed="false">
      <c r="A19" s="5" t="s">
        <v>139</v>
      </c>
      <c r="B19" s="6" t="s">
        <v>140</v>
      </c>
      <c r="C19" s="6" t="s">
        <v>141</v>
      </c>
      <c r="D19" s="5" t="s">
        <v>142</v>
      </c>
      <c r="E19" s="5" t="s">
        <v>121</v>
      </c>
      <c r="F19" s="5" t="s">
        <v>65</v>
      </c>
      <c r="G19" s="5" t="s">
        <v>34</v>
      </c>
      <c r="H19" s="5" t="s">
        <v>35</v>
      </c>
      <c r="I19" s="5" t="s">
        <v>143</v>
      </c>
      <c r="J19" s="6" t="s">
        <v>144</v>
      </c>
      <c r="K19" s="5" t="s">
        <v>38</v>
      </c>
      <c r="L19" s="5" t="str">
        <f aca="false">IF(I19="","NO TEST","Covered")</f>
        <v>Covered</v>
      </c>
      <c r="M19" s="5" t="n">
        <f aca="false">LEN(I19)-LEN(SUBSTITUTE(I19,",",""))+1</f>
        <v>1</v>
      </c>
    </row>
    <row r="20" customFormat="false" ht="23.85" hidden="false" customHeight="false" outlineLevel="0" collapsed="false">
      <c r="A20" s="5" t="s">
        <v>145</v>
      </c>
      <c r="B20" s="6" t="s">
        <v>146</v>
      </c>
      <c r="C20" s="6" t="s">
        <v>147</v>
      </c>
      <c r="D20" s="5" t="s">
        <v>148</v>
      </c>
      <c r="E20" s="5" t="s">
        <v>121</v>
      </c>
      <c r="F20" s="5" t="s">
        <v>33</v>
      </c>
      <c r="G20" s="5" t="s">
        <v>34</v>
      </c>
      <c r="H20" s="5" t="s">
        <v>88</v>
      </c>
      <c r="I20" s="5" t="s">
        <v>149</v>
      </c>
      <c r="J20" s="6" t="s">
        <v>150</v>
      </c>
      <c r="K20" s="5" t="s">
        <v>38</v>
      </c>
      <c r="L20" s="5" t="str">
        <f aca="false">IF(I20="","NO TEST","Covered")</f>
        <v>Covered</v>
      </c>
      <c r="M20" s="5" t="n">
        <f aca="false">LEN(I20)-LEN(SUBSTITUTE(I20,",",""))+1</f>
        <v>1</v>
      </c>
    </row>
    <row r="21" customFormat="false" ht="23.85" hidden="false" customHeight="false" outlineLevel="0" collapsed="false">
      <c r="A21" s="5" t="s">
        <v>151</v>
      </c>
      <c r="B21" s="6" t="s">
        <v>152</v>
      </c>
      <c r="C21" s="6" t="s">
        <v>153</v>
      </c>
      <c r="D21" s="5" t="s">
        <v>148</v>
      </c>
      <c r="E21" s="5" t="s">
        <v>121</v>
      </c>
      <c r="F21" s="5" t="s">
        <v>33</v>
      </c>
      <c r="G21" s="5" t="s">
        <v>34</v>
      </c>
      <c r="H21" s="5" t="s">
        <v>35</v>
      </c>
      <c r="I21" s="5" t="s">
        <v>154</v>
      </c>
      <c r="J21" s="6" t="s">
        <v>155</v>
      </c>
      <c r="K21" s="5" t="s">
        <v>38</v>
      </c>
      <c r="L21" s="5" t="str">
        <f aca="false">IF(I21="","NO TEST","Covered")</f>
        <v>Covered</v>
      </c>
      <c r="M21" s="5" t="n">
        <f aca="false">LEN(I21)-LEN(SUBSTITUTE(I21,",",""))+1</f>
        <v>1</v>
      </c>
    </row>
    <row r="22" customFormat="false" ht="23.85" hidden="false" customHeight="false" outlineLevel="0" collapsed="false">
      <c r="A22" s="5" t="s">
        <v>156</v>
      </c>
      <c r="B22" s="6" t="s">
        <v>157</v>
      </c>
      <c r="C22" s="6" t="s">
        <v>158</v>
      </c>
      <c r="D22" s="5" t="s">
        <v>142</v>
      </c>
      <c r="E22" s="5" t="s">
        <v>121</v>
      </c>
      <c r="F22" s="5" t="s">
        <v>57</v>
      </c>
      <c r="G22" s="5" t="s">
        <v>48</v>
      </c>
      <c r="H22" s="5" t="s">
        <v>35</v>
      </c>
      <c r="I22" s="5" t="s">
        <v>159</v>
      </c>
      <c r="J22" s="6" t="s">
        <v>160</v>
      </c>
      <c r="K22" s="5" t="s">
        <v>52</v>
      </c>
      <c r="L22" s="5" t="str">
        <f aca="false">IF(I22="","NO TEST","Covered")</f>
        <v>Covered</v>
      </c>
      <c r="M22" s="5" t="n">
        <f aca="false">LEN(I22)-LEN(SUBSTITUTE(I22,",",""))+1</f>
        <v>1</v>
      </c>
    </row>
    <row r="23" customFormat="false" ht="23.85" hidden="false" customHeight="false" outlineLevel="0" collapsed="false">
      <c r="A23" s="5" t="s">
        <v>161</v>
      </c>
      <c r="B23" s="6" t="s">
        <v>162</v>
      </c>
      <c r="C23" s="6" t="s">
        <v>163</v>
      </c>
      <c r="D23" s="5" t="s">
        <v>164</v>
      </c>
      <c r="E23" s="5" t="s">
        <v>165</v>
      </c>
      <c r="F23" s="5" t="s">
        <v>65</v>
      </c>
      <c r="G23" s="5" t="s">
        <v>34</v>
      </c>
      <c r="H23" s="5" t="s">
        <v>42</v>
      </c>
      <c r="I23" s="5" t="s">
        <v>166</v>
      </c>
      <c r="J23" s="6" t="s">
        <v>167</v>
      </c>
      <c r="K23" s="5" t="s">
        <v>38</v>
      </c>
      <c r="L23" s="5" t="str">
        <f aca="false">IF(I23="","NO TEST","Covered")</f>
        <v>Covered</v>
      </c>
      <c r="M23" s="5" t="n">
        <f aca="false">LEN(I23)-LEN(SUBSTITUTE(I23,",",""))+1</f>
        <v>1</v>
      </c>
    </row>
    <row r="24" customFormat="false" ht="15" hidden="false" customHeight="false" outlineLevel="0" collapsed="false">
      <c r="A24" s="5" t="s">
        <v>168</v>
      </c>
      <c r="B24" s="6" t="s">
        <v>169</v>
      </c>
      <c r="C24" s="6" t="s">
        <v>170</v>
      </c>
      <c r="D24" s="5" t="s">
        <v>164</v>
      </c>
      <c r="E24" s="5" t="s">
        <v>165</v>
      </c>
      <c r="F24" s="5" t="s">
        <v>33</v>
      </c>
      <c r="G24" s="5" t="s">
        <v>34</v>
      </c>
      <c r="H24" s="5" t="s">
        <v>88</v>
      </c>
      <c r="I24" s="5" t="s">
        <v>171</v>
      </c>
      <c r="J24" s="6" t="s">
        <v>172</v>
      </c>
      <c r="K24" s="5" t="s">
        <v>38</v>
      </c>
      <c r="L24" s="5" t="str">
        <f aca="false">IF(I24="","NO TEST","Covered")</f>
        <v>Covered</v>
      </c>
      <c r="M24" s="5" t="n">
        <f aca="false">LEN(I24)-LEN(SUBSTITUTE(I24,",",""))+1</f>
        <v>1</v>
      </c>
    </row>
    <row r="25" customFormat="false" ht="23.85" hidden="false" customHeight="false" outlineLevel="0" collapsed="false">
      <c r="A25" s="5" t="s">
        <v>173</v>
      </c>
      <c r="B25" s="6" t="s">
        <v>174</v>
      </c>
      <c r="C25" s="6" t="s">
        <v>175</v>
      </c>
      <c r="D25" s="5" t="s">
        <v>176</v>
      </c>
      <c r="E25" s="5" t="s">
        <v>165</v>
      </c>
      <c r="F25" s="5" t="s">
        <v>65</v>
      </c>
      <c r="G25" s="5" t="s">
        <v>34</v>
      </c>
      <c r="H25" s="5" t="s">
        <v>42</v>
      </c>
      <c r="I25" s="5" t="s">
        <v>177</v>
      </c>
      <c r="J25" s="6" t="s">
        <v>178</v>
      </c>
      <c r="K25" s="5" t="s">
        <v>38</v>
      </c>
      <c r="L25" s="5" t="str">
        <f aca="false">IF(I25="","NO TEST","Covered")</f>
        <v>Covered</v>
      </c>
      <c r="M25" s="5" t="n">
        <f aca="false">LEN(I25)-LEN(SUBSTITUTE(I25,",",""))+1</f>
        <v>1</v>
      </c>
    </row>
    <row r="26" customFormat="false" ht="23.85" hidden="false" customHeight="false" outlineLevel="0" collapsed="false">
      <c r="A26" s="5" t="s">
        <v>179</v>
      </c>
      <c r="B26" s="6" t="s">
        <v>180</v>
      </c>
      <c r="C26" s="6" t="s">
        <v>181</v>
      </c>
      <c r="D26" s="5" t="s">
        <v>164</v>
      </c>
      <c r="E26" s="5" t="s">
        <v>165</v>
      </c>
      <c r="F26" s="5" t="s">
        <v>65</v>
      </c>
      <c r="G26" s="5" t="s">
        <v>34</v>
      </c>
      <c r="H26" s="5" t="s">
        <v>49</v>
      </c>
      <c r="I26" s="5" t="s">
        <v>182</v>
      </c>
      <c r="J26" s="6" t="s">
        <v>183</v>
      </c>
      <c r="K26" s="5" t="s">
        <v>38</v>
      </c>
      <c r="L26" s="5" t="str">
        <f aca="false">IF(I26="","NO TEST","Covered")</f>
        <v>Covered</v>
      </c>
      <c r="M26" s="5" t="n">
        <f aca="false">LEN(I26)-LEN(SUBSTITUTE(I26,",",""))+1</f>
        <v>1</v>
      </c>
    </row>
    <row r="27" customFormat="false" ht="23.85" hidden="false" customHeight="false" outlineLevel="0" collapsed="false">
      <c r="A27" s="5" t="s">
        <v>184</v>
      </c>
      <c r="B27" s="6" t="s">
        <v>185</v>
      </c>
      <c r="C27" s="6" t="s">
        <v>186</v>
      </c>
      <c r="D27" s="5" t="s">
        <v>107</v>
      </c>
      <c r="E27" s="5" t="s">
        <v>165</v>
      </c>
      <c r="F27" s="5" t="s">
        <v>65</v>
      </c>
      <c r="G27" s="5" t="s">
        <v>34</v>
      </c>
      <c r="H27" s="5" t="s">
        <v>42</v>
      </c>
      <c r="I27" s="5" t="s">
        <v>187</v>
      </c>
      <c r="J27" s="6" t="s">
        <v>188</v>
      </c>
      <c r="K27" s="5" t="s">
        <v>38</v>
      </c>
      <c r="L27" s="5" t="str">
        <f aca="false">IF(I27="","NO TEST","Covered")</f>
        <v>Covered</v>
      </c>
      <c r="M27" s="5" t="n">
        <f aca="false">LEN(I27)-LEN(SUBSTITUTE(I27,",",""))+1</f>
        <v>1</v>
      </c>
    </row>
    <row r="28" customFormat="false" ht="23.85" hidden="false" customHeight="false" outlineLevel="0" collapsed="false">
      <c r="A28" s="5" t="s">
        <v>189</v>
      </c>
      <c r="B28" s="6" t="s">
        <v>190</v>
      </c>
      <c r="C28" s="6" t="s">
        <v>191</v>
      </c>
      <c r="D28" s="5" t="s">
        <v>164</v>
      </c>
      <c r="E28" s="5" t="s">
        <v>165</v>
      </c>
      <c r="F28" s="5" t="s">
        <v>65</v>
      </c>
      <c r="G28" s="5" t="s">
        <v>34</v>
      </c>
      <c r="H28" s="5" t="s">
        <v>42</v>
      </c>
      <c r="I28" s="5" t="s">
        <v>192</v>
      </c>
      <c r="J28" s="6" t="s">
        <v>193</v>
      </c>
      <c r="K28" s="5" t="s">
        <v>38</v>
      </c>
      <c r="L28" s="5" t="str">
        <f aca="false">IF(I28="","NO TEST","Covered")</f>
        <v>Covered</v>
      </c>
      <c r="M28" s="5" t="n">
        <f aca="false">LEN(I28)-LEN(SUBSTITUTE(I28,",",""))+1</f>
        <v>1</v>
      </c>
    </row>
    <row r="29" customFormat="false" ht="23.85" hidden="false" customHeight="false" outlineLevel="0" collapsed="false">
      <c r="A29" s="5" t="s">
        <v>194</v>
      </c>
      <c r="B29" s="6" t="s">
        <v>195</v>
      </c>
      <c r="C29" s="6" t="s">
        <v>196</v>
      </c>
      <c r="D29" s="5" t="s">
        <v>164</v>
      </c>
      <c r="E29" s="5" t="s">
        <v>165</v>
      </c>
      <c r="F29" s="5" t="s">
        <v>33</v>
      </c>
      <c r="G29" s="5" t="s">
        <v>34</v>
      </c>
      <c r="H29" s="5" t="s">
        <v>76</v>
      </c>
      <c r="I29" s="5" t="s">
        <v>197</v>
      </c>
      <c r="J29" s="6" t="s">
        <v>198</v>
      </c>
      <c r="K29" s="5" t="s">
        <v>38</v>
      </c>
      <c r="L29" s="5" t="str">
        <f aca="false">IF(I29="","NO TEST","Covered")</f>
        <v>Covered</v>
      </c>
      <c r="M29" s="5" t="n">
        <f aca="false">LEN(I29)-LEN(SUBSTITUTE(I29,",",""))+1</f>
        <v>1</v>
      </c>
    </row>
    <row r="30" customFormat="false" ht="23.85" hidden="false" customHeight="false" outlineLevel="0" collapsed="false">
      <c r="A30" s="5" t="s">
        <v>199</v>
      </c>
      <c r="B30" s="6" t="s">
        <v>200</v>
      </c>
      <c r="C30" s="6" t="s">
        <v>201</v>
      </c>
      <c r="D30" s="5" t="s">
        <v>202</v>
      </c>
      <c r="E30" s="5" t="s">
        <v>203</v>
      </c>
      <c r="F30" s="5" t="s">
        <v>33</v>
      </c>
      <c r="G30" s="5" t="s">
        <v>34</v>
      </c>
      <c r="H30" s="5" t="s">
        <v>76</v>
      </c>
      <c r="I30" s="5" t="s">
        <v>204</v>
      </c>
      <c r="J30" s="6" t="s">
        <v>205</v>
      </c>
      <c r="K30" s="5" t="s">
        <v>38</v>
      </c>
      <c r="L30" s="5" t="str">
        <f aca="false">IF(I30="","NO TEST","Covered")</f>
        <v>Covered</v>
      </c>
      <c r="M30" s="5" t="n">
        <f aca="false">LEN(I30)-LEN(SUBSTITUTE(I30,",",""))+1</f>
        <v>1</v>
      </c>
    </row>
    <row r="31" customFormat="false" ht="23.85" hidden="false" customHeight="false" outlineLevel="0" collapsed="false">
      <c r="A31" s="5" t="s">
        <v>206</v>
      </c>
      <c r="B31" s="6" t="s">
        <v>207</v>
      </c>
      <c r="C31" s="6" t="s">
        <v>208</v>
      </c>
      <c r="D31" s="5" t="s">
        <v>209</v>
      </c>
      <c r="E31" s="5" t="s">
        <v>203</v>
      </c>
      <c r="F31" s="5" t="s">
        <v>210</v>
      </c>
      <c r="G31" s="5" t="s">
        <v>48</v>
      </c>
      <c r="H31" s="5" t="s">
        <v>211</v>
      </c>
      <c r="I31" s="5" t="s">
        <v>212</v>
      </c>
      <c r="J31" s="6" t="s">
        <v>213</v>
      </c>
      <c r="K31" s="5" t="s">
        <v>52</v>
      </c>
      <c r="L31" s="5" t="str">
        <f aca="false">IF(I31="","NO TEST","Covered")</f>
        <v>Covered</v>
      </c>
      <c r="M31" s="5" t="n">
        <f aca="false">LEN(I31)-LEN(SUBSTITUTE(I31,",",""))+1</f>
        <v>1</v>
      </c>
    </row>
    <row r="32" customFormat="false" ht="23.85" hidden="false" customHeight="false" outlineLevel="0" collapsed="false">
      <c r="A32" s="5" t="s">
        <v>214</v>
      </c>
      <c r="B32" s="6" t="s">
        <v>215</v>
      </c>
      <c r="C32" s="6" t="s">
        <v>216</v>
      </c>
      <c r="D32" s="5" t="s">
        <v>217</v>
      </c>
      <c r="E32" s="5" t="s">
        <v>203</v>
      </c>
      <c r="F32" s="5" t="s">
        <v>65</v>
      </c>
      <c r="G32" s="5" t="s">
        <v>34</v>
      </c>
      <c r="H32" s="5" t="s">
        <v>76</v>
      </c>
      <c r="I32" s="5" t="s">
        <v>218</v>
      </c>
      <c r="J32" s="6" t="s">
        <v>219</v>
      </c>
      <c r="K32" s="5" t="s">
        <v>38</v>
      </c>
      <c r="L32" s="5" t="str">
        <f aca="false">IF(I32="","NO TEST","Covered")</f>
        <v>Covered</v>
      </c>
      <c r="M32" s="5" t="n">
        <f aca="false">LEN(I32)-LEN(SUBSTITUTE(I32,",",""))+1</f>
        <v>1</v>
      </c>
    </row>
    <row r="33" customFormat="false" ht="15" hidden="false" customHeight="false" outlineLevel="0" collapsed="false">
      <c r="A33" s="5" t="s">
        <v>220</v>
      </c>
      <c r="B33" s="6" t="s">
        <v>221</v>
      </c>
      <c r="C33" s="6" t="s">
        <v>222</v>
      </c>
      <c r="D33" s="5" t="s">
        <v>217</v>
      </c>
      <c r="E33" s="5" t="s">
        <v>203</v>
      </c>
      <c r="F33" s="5" t="s">
        <v>65</v>
      </c>
      <c r="G33" s="5" t="s">
        <v>34</v>
      </c>
      <c r="H33" s="5" t="s">
        <v>76</v>
      </c>
      <c r="I33" s="5" t="s">
        <v>223</v>
      </c>
      <c r="J33" s="6" t="s">
        <v>224</v>
      </c>
      <c r="K33" s="5" t="s">
        <v>38</v>
      </c>
      <c r="L33" s="5" t="str">
        <f aca="false">IF(I33="","NO TEST","Covered")</f>
        <v>Covered</v>
      </c>
      <c r="M33" s="5" t="n">
        <f aca="false">LEN(I33)-LEN(SUBSTITUTE(I33,",",""))+1</f>
        <v>1</v>
      </c>
    </row>
    <row r="34" customFormat="false" ht="15" hidden="false" customHeight="false" outlineLevel="0" collapsed="false">
      <c r="A34" s="5" t="s">
        <v>225</v>
      </c>
      <c r="B34" s="6" t="s">
        <v>226</v>
      </c>
      <c r="C34" s="6" t="s">
        <v>227</v>
      </c>
      <c r="D34" s="5" t="s">
        <v>228</v>
      </c>
      <c r="E34" s="5" t="s">
        <v>203</v>
      </c>
      <c r="F34" s="5" t="s">
        <v>33</v>
      </c>
      <c r="G34" s="5" t="s">
        <v>34</v>
      </c>
      <c r="H34" s="5" t="s">
        <v>211</v>
      </c>
      <c r="I34" s="5" t="s">
        <v>229</v>
      </c>
      <c r="J34" s="6" t="s">
        <v>230</v>
      </c>
      <c r="K34" s="5" t="s">
        <v>38</v>
      </c>
      <c r="L34" s="5" t="str">
        <f aca="false">IF(I34="","NO TEST","Covered")</f>
        <v>Covered</v>
      </c>
      <c r="M34" s="5" t="n">
        <f aca="false">LEN(I34)-LEN(SUBSTITUTE(I34,",",""))+1</f>
        <v>1</v>
      </c>
    </row>
    <row r="35" customFormat="false" ht="23.85" hidden="false" customHeight="false" outlineLevel="0" collapsed="false">
      <c r="A35" s="5" t="s">
        <v>231</v>
      </c>
      <c r="B35" s="6" t="s">
        <v>232</v>
      </c>
      <c r="C35" s="6" t="s">
        <v>233</v>
      </c>
      <c r="D35" s="5" t="s">
        <v>228</v>
      </c>
      <c r="E35" s="5" t="s">
        <v>203</v>
      </c>
      <c r="F35" s="5" t="s">
        <v>33</v>
      </c>
      <c r="G35" s="5" t="s">
        <v>34</v>
      </c>
      <c r="H35" s="5" t="s">
        <v>76</v>
      </c>
      <c r="I35" s="5" t="s">
        <v>234</v>
      </c>
      <c r="J35" s="6" t="s">
        <v>235</v>
      </c>
      <c r="K35" s="5" t="s">
        <v>38</v>
      </c>
      <c r="L35" s="5" t="str">
        <f aca="false">IF(I35="","NO TEST","Covered")</f>
        <v>Covered</v>
      </c>
      <c r="M35" s="5" t="n">
        <f aca="false">LEN(I35)-LEN(SUBSTITUTE(I35,",",""))+1</f>
        <v>1</v>
      </c>
    </row>
    <row r="36" customFormat="false" ht="23.85" hidden="false" customHeight="false" outlineLevel="0" collapsed="false">
      <c r="A36" s="5" t="s">
        <v>236</v>
      </c>
      <c r="B36" s="6" t="s">
        <v>237</v>
      </c>
      <c r="C36" s="6" t="s">
        <v>238</v>
      </c>
      <c r="D36" s="5" t="s">
        <v>228</v>
      </c>
      <c r="E36" s="5" t="s">
        <v>203</v>
      </c>
      <c r="F36" s="5" t="s">
        <v>33</v>
      </c>
      <c r="G36" s="5" t="s">
        <v>48</v>
      </c>
      <c r="H36" s="5" t="s">
        <v>211</v>
      </c>
      <c r="I36" s="5" t="s">
        <v>239</v>
      </c>
      <c r="J36" s="6" t="s">
        <v>240</v>
      </c>
      <c r="K36" s="5" t="s">
        <v>52</v>
      </c>
      <c r="L36" s="5" t="str">
        <f aca="false">IF(I36="","NO TEST","Covered")</f>
        <v>Covered</v>
      </c>
      <c r="M36" s="5" t="n">
        <f aca="false">LEN(I36)-LEN(SUBSTITUTE(I36,",",""))+1</f>
        <v>1</v>
      </c>
    </row>
    <row r="37" customFormat="false" ht="23.85" hidden="false" customHeight="false" outlineLevel="0" collapsed="false">
      <c r="A37" s="5" t="s">
        <v>241</v>
      </c>
      <c r="B37" s="6" t="s">
        <v>242</v>
      </c>
      <c r="C37" s="6" t="s">
        <v>243</v>
      </c>
      <c r="D37" s="5" t="s">
        <v>244</v>
      </c>
      <c r="E37" s="5" t="s">
        <v>203</v>
      </c>
      <c r="F37" s="5" t="s">
        <v>65</v>
      </c>
      <c r="G37" s="5" t="s">
        <v>34</v>
      </c>
      <c r="H37" s="5" t="s">
        <v>76</v>
      </c>
      <c r="I37" s="5" t="s">
        <v>245</v>
      </c>
      <c r="J37" s="6" t="s">
        <v>246</v>
      </c>
      <c r="K37" s="5" t="s">
        <v>38</v>
      </c>
      <c r="L37" s="5" t="str">
        <f aca="false">IF(I37="","NO TEST","Covered")</f>
        <v>Covered</v>
      </c>
      <c r="M37" s="5" t="n">
        <f aca="false">LEN(I37)-LEN(SUBSTITUTE(I37,",",""))+1</f>
        <v>1</v>
      </c>
    </row>
    <row r="38" customFormat="false" ht="23.85" hidden="false" customHeight="false" outlineLevel="0" collapsed="false">
      <c r="A38" s="5" t="s">
        <v>247</v>
      </c>
      <c r="B38" s="6" t="s">
        <v>248</v>
      </c>
      <c r="C38" s="6" t="s">
        <v>249</v>
      </c>
      <c r="D38" s="5" t="s">
        <v>250</v>
      </c>
      <c r="E38" s="5" t="s">
        <v>203</v>
      </c>
      <c r="F38" s="5" t="s">
        <v>33</v>
      </c>
      <c r="G38" s="5" t="s">
        <v>34</v>
      </c>
      <c r="H38" s="5" t="s">
        <v>211</v>
      </c>
      <c r="I38" s="5" t="s">
        <v>251</v>
      </c>
      <c r="J38" s="6" t="s">
        <v>252</v>
      </c>
      <c r="K38" s="5" t="s">
        <v>38</v>
      </c>
      <c r="L38" s="5" t="str">
        <f aca="false">IF(I38="","NO TEST","Covered")</f>
        <v>Covered</v>
      </c>
      <c r="M38" s="5" t="n">
        <f aca="false">LEN(I38)-LEN(SUBSTITUTE(I38,",",""))+1</f>
        <v>1</v>
      </c>
    </row>
    <row r="39" customFormat="false" ht="23.85" hidden="false" customHeight="false" outlineLevel="0" collapsed="false">
      <c r="A39" s="5" t="s">
        <v>253</v>
      </c>
      <c r="B39" s="6" t="s">
        <v>254</v>
      </c>
      <c r="C39" s="6" t="s">
        <v>255</v>
      </c>
      <c r="D39" s="5" t="s">
        <v>256</v>
      </c>
      <c r="E39" s="5" t="s">
        <v>203</v>
      </c>
      <c r="F39" s="5" t="s">
        <v>33</v>
      </c>
      <c r="G39" s="5" t="s">
        <v>48</v>
      </c>
      <c r="H39" s="5" t="s">
        <v>76</v>
      </c>
      <c r="I39" s="5" t="s">
        <v>257</v>
      </c>
      <c r="J39" s="6" t="s">
        <v>258</v>
      </c>
      <c r="K39" s="5" t="s">
        <v>52</v>
      </c>
      <c r="L39" s="5" t="str">
        <f aca="false">IF(I39="","NO TEST","Covered")</f>
        <v>Covered</v>
      </c>
      <c r="M39" s="5" t="n">
        <f aca="false">LEN(I39)-LEN(SUBSTITUTE(I39,",",""))+1</f>
        <v>1</v>
      </c>
    </row>
    <row r="40" customFormat="false" ht="23.85" hidden="false" customHeight="false" outlineLevel="0" collapsed="false">
      <c r="A40" s="5" t="s">
        <v>259</v>
      </c>
      <c r="B40" s="6" t="s">
        <v>260</v>
      </c>
      <c r="C40" s="6" t="s">
        <v>261</v>
      </c>
      <c r="D40" s="5" t="s">
        <v>262</v>
      </c>
      <c r="E40" s="5" t="s">
        <v>203</v>
      </c>
      <c r="F40" s="5" t="s">
        <v>65</v>
      </c>
      <c r="G40" s="5" t="s">
        <v>34</v>
      </c>
      <c r="H40" s="5" t="s">
        <v>76</v>
      </c>
      <c r="I40" s="5" t="s">
        <v>263</v>
      </c>
      <c r="J40" s="6" t="s">
        <v>264</v>
      </c>
      <c r="K40" s="5" t="s">
        <v>38</v>
      </c>
      <c r="L40" s="5" t="str">
        <f aca="false">IF(I40="","NO TEST","Covered")</f>
        <v>Covered</v>
      </c>
      <c r="M40" s="5" t="n">
        <f aca="false">LEN(I40)-LEN(SUBSTITUTE(I40,",",""))+1</f>
        <v>2</v>
      </c>
    </row>
    <row r="41" customFormat="false" ht="23.85" hidden="false" customHeight="false" outlineLevel="0" collapsed="false">
      <c r="A41" s="5" t="s">
        <v>265</v>
      </c>
      <c r="B41" s="6" t="s">
        <v>266</v>
      </c>
      <c r="C41" s="6" t="s">
        <v>267</v>
      </c>
      <c r="D41" s="5" t="s">
        <v>176</v>
      </c>
      <c r="E41" s="5" t="s">
        <v>203</v>
      </c>
      <c r="F41" s="5" t="s">
        <v>65</v>
      </c>
      <c r="G41" s="5" t="s">
        <v>34</v>
      </c>
      <c r="H41" s="5" t="s">
        <v>42</v>
      </c>
      <c r="I41" s="5" t="s">
        <v>268</v>
      </c>
      <c r="J41" s="6" t="s">
        <v>269</v>
      </c>
      <c r="K41" s="5" t="s">
        <v>38</v>
      </c>
      <c r="L41" s="5" t="str">
        <f aca="false">IF(I41="","NO TEST","Covered")</f>
        <v>Covered</v>
      </c>
      <c r="M41" s="5" t="n">
        <f aca="false">LEN(I41)-LEN(SUBSTITUTE(I41,",",""))+1</f>
        <v>1</v>
      </c>
    </row>
    <row r="42" customFormat="false" ht="23.85" hidden="false" customHeight="false" outlineLevel="0" collapsed="false">
      <c r="A42" s="5" t="s">
        <v>270</v>
      </c>
      <c r="B42" s="6" t="s">
        <v>271</v>
      </c>
      <c r="C42" s="6" t="s">
        <v>272</v>
      </c>
      <c r="D42" s="5" t="s">
        <v>217</v>
      </c>
      <c r="E42" s="5" t="s">
        <v>203</v>
      </c>
      <c r="F42" s="5" t="s">
        <v>65</v>
      </c>
      <c r="G42" s="5" t="s">
        <v>34</v>
      </c>
      <c r="H42" s="5" t="s">
        <v>211</v>
      </c>
      <c r="I42" s="5" t="s">
        <v>273</v>
      </c>
      <c r="J42" s="6" t="s">
        <v>274</v>
      </c>
      <c r="K42" s="5" t="s">
        <v>38</v>
      </c>
      <c r="L42" s="5" t="str">
        <f aca="false">IF(I42="","NO TEST","Covered")</f>
        <v>Covered</v>
      </c>
      <c r="M42" s="5" t="n">
        <f aca="false">LEN(I42)-LEN(SUBSTITUTE(I42,",",""))+1</f>
        <v>1</v>
      </c>
    </row>
    <row r="43" customFormat="false" ht="15" hidden="false" customHeight="false" outlineLevel="0" collapsed="false">
      <c r="A43" s="5" t="s">
        <v>275</v>
      </c>
      <c r="B43" s="6" t="s">
        <v>276</v>
      </c>
      <c r="C43" s="6" t="s">
        <v>277</v>
      </c>
      <c r="D43" s="5" t="s">
        <v>278</v>
      </c>
      <c r="E43" s="5" t="s">
        <v>203</v>
      </c>
      <c r="F43" s="5" t="s">
        <v>33</v>
      </c>
      <c r="G43" s="5" t="s">
        <v>34</v>
      </c>
      <c r="H43" s="5" t="s">
        <v>76</v>
      </c>
      <c r="I43" s="5" t="s">
        <v>279</v>
      </c>
      <c r="J43" s="6" t="s">
        <v>280</v>
      </c>
      <c r="K43" s="5" t="s">
        <v>38</v>
      </c>
      <c r="L43" s="5" t="str">
        <f aca="false">IF(I43="","NO TEST","Covered")</f>
        <v>Covered</v>
      </c>
      <c r="M43" s="5" t="n">
        <f aca="false">LEN(I43)-LEN(SUBSTITUTE(I43,",",""))+1</f>
        <v>1</v>
      </c>
    </row>
    <row r="44" customFormat="false" ht="23.85" hidden="false" customHeight="false" outlineLevel="0" collapsed="false">
      <c r="A44" s="5" t="s">
        <v>281</v>
      </c>
      <c r="B44" s="6" t="s">
        <v>282</v>
      </c>
      <c r="C44" s="6" t="s">
        <v>283</v>
      </c>
      <c r="D44" s="5" t="s">
        <v>284</v>
      </c>
      <c r="E44" s="5" t="s">
        <v>203</v>
      </c>
      <c r="F44" s="5" t="s">
        <v>33</v>
      </c>
      <c r="G44" s="5" t="s">
        <v>34</v>
      </c>
      <c r="H44" s="5" t="s">
        <v>76</v>
      </c>
      <c r="I44" s="5" t="s">
        <v>285</v>
      </c>
      <c r="J44" s="6" t="s">
        <v>286</v>
      </c>
      <c r="K44" s="5" t="s">
        <v>38</v>
      </c>
      <c r="L44" s="5" t="str">
        <f aca="false">IF(I44="","NO TEST","Covered")</f>
        <v>Covered</v>
      </c>
      <c r="M44" s="5" t="n">
        <f aca="false">LEN(I44)-LEN(SUBSTITUTE(I44,",",""))+1</f>
        <v>1</v>
      </c>
    </row>
    <row r="45" customFormat="false" ht="15" hidden="false" customHeight="false" outlineLevel="0" collapsed="false">
      <c r="A45" s="5" t="s">
        <v>287</v>
      </c>
      <c r="B45" s="6" t="s">
        <v>288</v>
      </c>
      <c r="C45" s="6" t="s">
        <v>289</v>
      </c>
      <c r="D45" s="5" t="s">
        <v>290</v>
      </c>
      <c r="E45" s="5" t="s">
        <v>203</v>
      </c>
      <c r="F45" s="5" t="s">
        <v>291</v>
      </c>
      <c r="G45" s="5" t="s">
        <v>48</v>
      </c>
      <c r="H45" s="5" t="s">
        <v>76</v>
      </c>
      <c r="I45" s="5" t="s">
        <v>292</v>
      </c>
      <c r="J45" s="6" t="s">
        <v>293</v>
      </c>
      <c r="K45" s="5" t="s">
        <v>52</v>
      </c>
      <c r="L45" s="5" t="str">
        <f aca="false">IF(I45="","NO TEST","Covered")</f>
        <v>Covered</v>
      </c>
      <c r="M45" s="5" t="n">
        <f aca="false">LEN(I45)-LEN(SUBSTITUTE(I45,",",""))+1</f>
        <v>1</v>
      </c>
    </row>
    <row r="46" customFormat="false" ht="15" hidden="false" customHeight="false" outlineLevel="0" collapsed="false">
      <c r="A46" s="5" t="s">
        <v>294</v>
      </c>
      <c r="B46" s="6" t="s">
        <v>295</v>
      </c>
      <c r="C46" s="6" t="s">
        <v>296</v>
      </c>
      <c r="D46" s="5" t="s">
        <v>297</v>
      </c>
      <c r="E46" s="5" t="s">
        <v>203</v>
      </c>
      <c r="F46" s="5" t="s">
        <v>65</v>
      </c>
      <c r="G46" s="5" t="s">
        <v>34</v>
      </c>
      <c r="H46" s="5" t="s">
        <v>49</v>
      </c>
      <c r="I46" s="5" t="s">
        <v>298</v>
      </c>
      <c r="J46" s="6" t="s">
        <v>299</v>
      </c>
      <c r="K46" s="5" t="s">
        <v>38</v>
      </c>
      <c r="L46" s="5" t="str">
        <f aca="false">IF(I46="","NO TEST","Covered")</f>
        <v>Covered</v>
      </c>
      <c r="M46" s="5" t="n">
        <f aca="false">LEN(I46)-LEN(SUBSTITUTE(I46,",",""))+1</f>
        <v>1</v>
      </c>
    </row>
    <row r="47" customFormat="false" ht="23.85" hidden="false" customHeight="false" outlineLevel="0" collapsed="false">
      <c r="A47" s="5" t="s">
        <v>300</v>
      </c>
      <c r="B47" s="6" t="s">
        <v>301</v>
      </c>
      <c r="C47" s="6" t="s">
        <v>302</v>
      </c>
      <c r="D47" s="5" t="s">
        <v>63</v>
      </c>
      <c r="E47" s="5" t="s">
        <v>303</v>
      </c>
      <c r="F47" s="5" t="s">
        <v>65</v>
      </c>
      <c r="G47" s="5" t="s">
        <v>34</v>
      </c>
      <c r="H47" s="5" t="s">
        <v>49</v>
      </c>
      <c r="I47" s="5" t="s">
        <v>304</v>
      </c>
      <c r="J47" s="6" t="s">
        <v>305</v>
      </c>
      <c r="K47" s="5" t="s">
        <v>38</v>
      </c>
      <c r="L47" s="5" t="str">
        <f aca="false">IF(I47="","NO TEST","Covered")</f>
        <v>Covered</v>
      </c>
      <c r="M47" s="5" t="n">
        <f aca="false">LEN(I47)-LEN(SUBSTITUTE(I47,",",""))+1</f>
        <v>1</v>
      </c>
    </row>
    <row r="48" customFormat="false" ht="15" hidden="false" customHeight="false" outlineLevel="0" collapsed="false">
      <c r="A48" s="5" t="s">
        <v>306</v>
      </c>
      <c r="B48" s="6" t="s">
        <v>307</v>
      </c>
      <c r="C48" s="6" t="s">
        <v>308</v>
      </c>
      <c r="D48" s="5" t="s">
        <v>164</v>
      </c>
      <c r="E48" s="5" t="s">
        <v>303</v>
      </c>
      <c r="F48" s="5" t="s">
        <v>65</v>
      </c>
      <c r="G48" s="5" t="s">
        <v>34</v>
      </c>
      <c r="H48" s="5" t="s">
        <v>49</v>
      </c>
      <c r="I48" s="5" t="s">
        <v>309</v>
      </c>
      <c r="J48" s="6" t="s">
        <v>310</v>
      </c>
      <c r="K48" s="5" t="s">
        <v>38</v>
      </c>
      <c r="L48" s="5" t="str">
        <f aca="false">IF(I48="","NO TEST","Covered")</f>
        <v>Covered</v>
      </c>
      <c r="M48" s="5" t="n">
        <f aca="false">LEN(I48)-LEN(SUBSTITUTE(I48,",",""))+1</f>
        <v>1</v>
      </c>
    </row>
    <row r="49" customFormat="false" ht="23.85" hidden="false" customHeight="false" outlineLevel="0" collapsed="false">
      <c r="A49" s="5" t="s">
        <v>311</v>
      </c>
      <c r="B49" s="6" t="s">
        <v>312</v>
      </c>
      <c r="C49" s="6" t="s">
        <v>313</v>
      </c>
      <c r="D49" s="5" t="s">
        <v>314</v>
      </c>
      <c r="E49" s="5" t="s">
        <v>303</v>
      </c>
      <c r="F49" s="5" t="s">
        <v>65</v>
      </c>
      <c r="G49" s="5" t="s">
        <v>34</v>
      </c>
      <c r="H49" s="5" t="s">
        <v>49</v>
      </c>
      <c r="I49" s="5" t="s">
        <v>315</v>
      </c>
      <c r="J49" s="6" t="s">
        <v>316</v>
      </c>
      <c r="K49" s="5" t="s">
        <v>38</v>
      </c>
      <c r="L49" s="5" t="str">
        <f aca="false">IF(I49="","NO TEST","Covered")</f>
        <v>Covered</v>
      </c>
      <c r="M49" s="5" t="n">
        <f aca="false">LEN(I49)-LEN(SUBSTITUTE(I49,",",""))+1</f>
        <v>1</v>
      </c>
    </row>
    <row r="50" customFormat="false" ht="23.85" hidden="false" customHeight="false" outlineLevel="0" collapsed="false">
      <c r="A50" s="5" t="s">
        <v>317</v>
      </c>
      <c r="B50" s="6" t="s">
        <v>318</v>
      </c>
      <c r="C50" s="6" t="s">
        <v>319</v>
      </c>
      <c r="D50" s="5" t="s">
        <v>107</v>
      </c>
      <c r="E50" s="5" t="s">
        <v>303</v>
      </c>
      <c r="F50" s="5" t="s">
        <v>65</v>
      </c>
      <c r="G50" s="5" t="s">
        <v>34</v>
      </c>
      <c r="H50" s="5" t="s">
        <v>49</v>
      </c>
      <c r="I50" s="5" t="s">
        <v>320</v>
      </c>
      <c r="J50" s="6" t="s">
        <v>321</v>
      </c>
      <c r="K50" s="5" t="s">
        <v>38</v>
      </c>
      <c r="L50" s="5" t="str">
        <f aca="false">IF(I50="","NO TEST","Covered")</f>
        <v>Covered</v>
      </c>
      <c r="M50" s="5" t="n">
        <f aca="false">LEN(I50)-LEN(SUBSTITUTE(I50,",",""))+1</f>
        <v>1</v>
      </c>
    </row>
    <row r="51" customFormat="false" ht="23.85" hidden="false" customHeight="false" outlineLevel="0" collapsed="false">
      <c r="A51" s="5" t="s">
        <v>322</v>
      </c>
      <c r="B51" s="6" t="s">
        <v>323</v>
      </c>
      <c r="C51" s="6" t="s">
        <v>324</v>
      </c>
      <c r="D51" s="5" t="s">
        <v>297</v>
      </c>
      <c r="E51" s="5" t="s">
        <v>303</v>
      </c>
      <c r="F51" s="5" t="s">
        <v>65</v>
      </c>
      <c r="G51" s="5" t="s">
        <v>34</v>
      </c>
      <c r="H51" s="5" t="s">
        <v>49</v>
      </c>
      <c r="I51" s="5" t="s">
        <v>325</v>
      </c>
      <c r="J51" s="6" t="s">
        <v>326</v>
      </c>
      <c r="K51" s="5" t="s">
        <v>38</v>
      </c>
      <c r="L51" s="5" t="str">
        <f aca="false">IF(I51="","NO TEST","Covered")</f>
        <v>Covered</v>
      </c>
      <c r="M51" s="5" t="n">
        <f aca="false">LEN(I51)-LEN(SUBSTITUTE(I51,",",""))+1</f>
        <v>1</v>
      </c>
    </row>
    <row r="52" customFormat="false" ht="23.85" hidden="false" customHeight="false" outlineLevel="0" collapsed="false">
      <c r="A52" s="5" t="s">
        <v>327</v>
      </c>
      <c r="B52" s="6" t="s">
        <v>328</v>
      </c>
      <c r="C52" s="6" t="s">
        <v>329</v>
      </c>
      <c r="D52" s="5" t="s">
        <v>330</v>
      </c>
      <c r="E52" s="5" t="s">
        <v>303</v>
      </c>
      <c r="F52" s="5" t="s">
        <v>33</v>
      </c>
      <c r="G52" s="5" t="s">
        <v>48</v>
      </c>
      <c r="H52" s="5" t="s">
        <v>49</v>
      </c>
      <c r="I52" s="5" t="s">
        <v>331</v>
      </c>
      <c r="J52" s="6" t="s">
        <v>332</v>
      </c>
      <c r="K52" s="5" t="s">
        <v>52</v>
      </c>
      <c r="L52" s="5" t="str">
        <f aca="false">IF(I52="","NO TEST","Covered")</f>
        <v>Covered</v>
      </c>
      <c r="M52" s="5" t="n">
        <f aca="false">LEN(I52)-LEN(SUBSTITUTE(I52,",",""))+1</f>
        <v>1</v>
      </c>
    </row>
    <row r="53" customFormat="false" ht="15" hidden="false" customHeight="false" outlineLevel="0" collapsed="false">
      <c r="A53" s="5" t="s">
        <v>333</v>
      </c>
      <c r="B53" s="6" t="s">
        <v>334</v>
      </c>
      <c r="C53" s="6" t="s">
        <v>335</v>
      </c>
      <c r="D53" s="5" t="s">
        <v>87</v>
      </c>
      <c r="E53" s="5" t="s">
        <v>303</v>
      </c>
      <c r="F53" s="5" t="s">
        <v>33</v>
      </c>
      <c r="G53" s="5" t="s">
        <v>48</v>
      </c>
      <c r="H53" s="5" t="s">
        <v>88</v>
      </c>
      <c r="I53" s="5" t="s">
        <v>336</v>
      </c>
      <c r="J53" s="6" t="s">
        <v>337</v>
      </c>
      <c r="K53" s="5" t="s">
        <v>52</v>
      </c>
      <c r="L53" s="5" t="str">
        <f aca="false">IF(I53="","NO TEST","Covered")</f>
        <v>Covered</v>
      </c>
      <c r="M53" s="5" t="n">
        <f aca="false">LEN(I53)-LEN(SUBSTITUTE(I53,",",""))+1</f>
        <v>1</v>
      </c>
    </row>
    <row r="54" customFormat="false" ht="15" hidden="false" customHeight="false" outlineLevel="0" collapsed="false">
      <c r="A54" s="5" t="s">
        <v>338</v>
      </c>
      <c r="B54" s="6" t="s">
        <v>339</v>
      </c>
      <c r="C54" s="6" t="s">
        <v>340</v>
      </c>
      <c r="D54" s="5" t="s">
        <v>341</v>
      </c>
      <c r="E54" s="5" t="s">
        <v>303</v>
      </c>
      <c r="F54" s="5" t="s">
        <v>65</v>
      </c>
      <c r="G54" s="5" t="s">
        <v>34</v>
      </c>
      <c r="H54" s="5" t="s">
        <v>49</v>
      </c>
      <c r="I54" s="5" t="s">
        <v>342</v>
      </c>
      <c r="J54" s="6" t="s">
        <v>343</v>
      </c>
      <c r="K54" s="5" t="s">
        <v>52</v>
      </c>
      <c r="L54" s="5" t="str">
        <f aca="false">IF(I54="","NO TEST","Covered")</f>
        <v>Covered</v>
      </c>
      <c r="M54" s="5" t="n">
        <f aca="false">LEN(I54)-LEN(SUBSTITUTE(I54,",",""))+1</f>
        <v>1</v>
      </c>
    </row>
    <row r="55" customFormat="false" ht="15" hidden="false" customHeight="false" outlineLevel="0" collapsed="false">
      <c r="A55" s="5" t="s">
        <v>344</v>
      </c>
      <c r="B55" s="6" t="s">
        <v>345</v>
      </c>
      <c r="C55" s="6" t="s">
        <v>346</v>
      </c>
      <c r="D55" s="5" t="s">
        <v>56</v>
      </c>
      <c r="E55" s="5" t="s">
        <v>303</v>
      </c>
      <c r="F55" s="5" t="s">
        <v>65</v>
      </c>
      <c r="G55" s="5" t="s">
        <v>34</v>
      </c>
      <c r="H55" s="5" t="s">
        <v>49</v>
      </c>
      <c r="I55" s="5" t="s">
        <v>347</v>
      </c>
      <c r="J55" s="6" t="s">
        <v>348</v>
      </c>
      <c r="K55" s="5" t="s">
        <v>38</v>
      </c>
      <c r="L55" s="5" t="str">
        <f aca="false">IF(I55="","NO TEST","Covered")</f>
        <v>Covered</v>
      </c>
      <c r="M55" s="5" t="n">
        <f aca="false">LEN(I55)-LEN(SUBSTITUTE(I55,",",""))+1</f>
        <v>1</v>
      </c>
    </row>
    <row r="56" customFormat="false" ht="23.85" hidden="false" customHeight="false" outlineLevel="0" collapsed="false">
      <c r="A56" s="5" t="s">
        <v>349</v>
      </c>
      <c r="B56" s="6" t="s">
        <v>350</v>
      </c>
      <c r="C56" s="6" t="s">
        <v>351</v>
      </c>
      <c r="D56" s="5" t="s">
        <v>31</v>
      </c>
      <c r="E56" s="5" t="s">
        <v>303</v>
      </c>
      <c r="F56" s="5" t="s">
        <v>33</v>
      </c>
      <c r="G56" s="5" t="s">
        <v>34</v>
      </c>
      <c r="H56" s="5" t="s">
        <v>49</v>
      </c>
      <c r="I56" s="5" t="s">
        <v>352</v>
      </c>
      <c r="J56" s="6" t="s">
        <v>353</v>
      </c>
      <c r="K56" s="5" t="s">
        <v>38</v>
      </c>
      <c r="L56" s="5" t="str">
        <f aca="false">IF(I56="","NO TEST","Covered")</f>
        <v>Covered</v>
      </c>
      <c r="M56" s="5" t="n">
        <f aca="false">LEN(I56)-LEN(SUBSTITUTE(I56,",",""))+1</f>
        <v>1</v>
      </c>
    </row>
    <row r="57" customFormat="false" ht="23.85" hidden="false" customHeight="false" outlineLevel="0" collapsed="false">
      <c r="A57" s="5" t="s">
        <v>354</v>
      </c>
      <c r="B57" s="6" t="s">
        <v>355</v>
      </c>
      <c r="C57" s="6" t="s">
        <v>356</v>
      </c>
      <c r="D57" s="5" t="s">
        <v>357</v>
      </c>
      <c r="E57" s="5" t="s">
        <v>303</v>
      </c>
      <c r="F57" s="5" t="s">
        <v>210</v>
      </c>
      <c r="G57" s="5" t="s">
        <v>48</v>
      </c>
      <c r="H57" s="5" t="s">
        <v>49</v>
      </c>
      <c r="I57" s="5" t="s">
        <v>358</v>
      </c>
      <c r="J57" s="6" t="s">
        <v>359</v>
      </c>
      <c r="K57" s="5" t="s">
        <v>52</v>
      </c>
      <c r="L57" s="5" t="str">
        <f aca="false">IF(I57="","NO TEST","Covered")</f>
        <v>Covered</v>
      </c>
      <c r="M57" s="5" t="n">
        <f aca="false">LEN(I57)-LEN(SUBSTITUTE(I57,",",""))+1</f>
        <v>1</v>
      </c>
    </row>
    <row r="58" customFormat="false" ht="15" hidden="false" customHeight="false" outlineLevel="0" collapsed="false">
      <c r="A58" s="5" t="s">
        <v>360</v>
      </c>
      <c r="B58" s="6" t="s">
        <v>361</v>
      </c>
      <c r="C58" s="6" t="s">
        <v>362</v>
      </c>
      <c r="D58" s="5" t="s">
        <v>341</v>
      </c>
      <c r="E58" s="5" t="s">
        <v>303</v>
      </c>
      <c r="F58" s="5" t="s">
        <v>363</v>
      </c>
      <c r="G58" s="5" t="s">
        <v>34</v>
      </c>
      <c r="H58" s="5" t="s">
        <v>49</v>
      </c>
      <c r="I58" s="5" t="s">
        <v>364</v>
      </c>
      <c r="J58" s="6" t="s">
        <v>365</v>
      </c>
      <c r="K58" s="5" t="s">
        <v>52</v>
      </c>
      <c r="L58" s="5" t="str">
        <f aca="false">IF(I58="","NO TEST","Covered")</f>
        <v>Covered</v>
      </c>
      <c r="M58" s="5" t="n">
        <f aca="false">LEN(I58)-LEN(SUBSTITUTE(I58,",",""))+1</f>
        <v>1</v>
      </c>
    </row>
    <row r="59" customFormat="false" ht="15" hidden="false" customHeight="false" outlineLevel="0" collapsed="false">
      <c r="A59" s="5" t="s">
        <v>366</v>
      </c>
      <c r="B59" s="6" t="s">
        <v>367</v>
      </c>
      <c r="C59" s="6" t="s">
        <v>368</v>
      </c>
      <c r="D59" s="5" t="s">
        <v>369</v>
      </c>
      <c r="E59" s="5" t="s">
        <v>148</v>
      </c>
      <c r="F59" s="5" t="s">
        <v>65</v>
      </c>
      <c r="G59" s="5" t="s">
        <v>34</v>
      </c>
      <c r="H59" s="5" t="s">
        <v>88</v>
      </c>
      <c r="I59" s="5" t="s">
        <v>370</v>
      </c>
      <c r="J59" s="6" t="s">
        <v>371</v>
      </c>
      <c r="K59" s="5" t="s">
        <v>38</v>
      </c>
      <c r="L59" s="5" t="str">
        <f aca="false">IF(I59="","NO TEST","Covered")</f>
        <v>Covered</v>
      </c>
      <c r="M59" s="5" t="n">
        <f aca="false">LEN(I59)-LEN(SUBSTITUTE(I59,",",""))+1</f>
        <v>1</v>
      </c>
    </row>
    <row r="60" customFormat="false" ht="23.85" hidden="false" customHeight="false" outlineLevel="0" collapsed="false">
      <c r="A60" s="5" t="s">
        <v>372</v>
      </c>
      <c r="B60" s="6" t="s">
        <v>373</v>
      </c>
      <c r="C60" s="6" t="s">
        <v>374</v>
      </c>
      <c r="D60" s="5" t="s">
        <v>369</v>
      </c>
      <c r="E60" s="5" t="s">
        <v>148</v>
      </c>
      <c r="F60" s="5" t="s">
        <v>210</v>
      </c>
      <c r="G60" s="5" t="s">
        <v>48</v>
      </c>
      <c r="H60" s="5" t="s">
        <v>88</v>
      </c>
      <c r="I60" s="5" t="s">
        <v>375</v>
      </c>
      <c r="J60" s="6" t="s">
        <v>376</v>
      </c>
      <c r="K60" s="5" t="s">
        <v>52</v>
      </c>
      <c r="L60" s="5" t="str">
        <f aca="false">IF(I60="","NO TEST","Covered")</f>
        <v>Covered</v>
      </c>
      <c r="M60" s="5" t="n">
        <f aca="false">LEN(I60)-LEN(SUBSTITUTE(I60,",",""))+1</f>
        <v>1</v>
      </c>
    </row>
    <row r="61" customFormat="false" ht="15" hidden="false" customHeight="false" outlineLevel="0" collapsed="false">
      <c r="A61" s="5" t="s">
        <v>377</v>
      </c>
      <c r="B61" s="6" t="s">
        <v>378</v>
      </c>
      <c r="C61" s="6" t="s">
        <v>379</v>
      </c>
      <c r="D61" s="5" t="s">
        <v>369</v>
      </c>
      <c r="E61" s="5" t="s">
        <v>148</v>
      </c>
      <c r="F61" s="5" t="s">
        <v>65</v>
      </c>
      <c r="G61" s="5" t="s">
        <v>34</v>
      </c>
      <c r="H61" s="5" t="s">
        <v>49</v>
      </c>
      <c r="I61" s="5" t="s">
        <v>380</v>
      </c>
      <c r="J61" s="6" t="s">
        <v>381</v>
      </c>
      <c r="K61" s="5" t="s">
        <v>38</v>
      </c>
      <c r="L61" s="5" t="str">
        <f aca="false">IF(I61="","NO TEST","Covered")</f>
        <v>Covered</v>
      </c>
      <c r="M61" s="5" t="n">
        <f aca="false">LEN(I61)-LEN(SUBSTITUTE(I61,",",""))+1</f>
        <v>1</v>
      </c>
    </row>
    <row r="62" customFormat="false" ht="15" hidden="false" customHeight="false" outlineLevel="0" collapsed="false">
      <c r="A62" s="5" t="s">
        <v>382</v>
      </c>
      <c r="B62" s="6" t="s">
        <v>383</v>
      </c>
      <c r="C62" s="6" t="s">
        <v>384</v>
      </c>
      <c r="D62" s="5" t="s">
        <v>369</v>
      </c>
      <c r="E62" s="5" t="s">
        <v>148</v>
      </c>
      <c r="F62" s="5" t="s">
        <v>65</v>
      </c>
      <c r="G62" s="5" t="s">
        <v>34</v>
      </c>
      <c r="H62" s="5" t="s">
        <v>49</v>
      </c>
      <c r="I62" s="5" t="s">
        <v>385</v>
      </c>
      <c r="J62" s="6" t="s">
        <v>386</v>
      </c>
      <c r="K62" s="5" t="s">
        <v>38</v>
      </c>
      <c r="L62" s="5" t="str">
        <f aca="false">IF(I62="","NO TEST","Covered")</f>
        <v>Covered</v>
      </c>
      <c r="M62" s="5" t="n">
        <f aca="false">LEN(I62)-LEN(SUBSTITUTE(I62,",",""))+1</f>
        <v>1</v>
      </c>
    </row>
    <row r="63" customFormat="false" ht="23.85" hidden="false" customHeight="false" outlineLevel="0" collapsed="false">
      <c r="A63" s="5" t="s">
        <v>387</v>
      </c>
      <c r="B63" s="6" t="s">
        <v>388</v>
      </c>
      <c r="C63" s="6" t="s">
        <v>389</v>
      </c>
      <c r="D63" s="5" t="s">
        <v>390</v>
      </c>
      <c r="E63" s="5" t="s">
        <v>391</v>
      </c>
      <c r="F63" s="5" t="s">
        <v>33</v>
      </c>
      <c r="G63" s="5" t="s">
        <v>34</v>
      </c>
      <c r="H63" s="5" t="s">
        <v>88</v>
      </c>
      <c r="I63" s="5" t="s">
        <v>392</v>
      </c>
      <c r="J63" s="6" t="s">
        <v>393</v>
      </c>
      <c r="K63" s="5" t="s">
        <v>52</v>
      </c>
      <c r="L63" s="5" t="str">
        <f aca="false">IF(I63="","NO TEST","Covered")</f>
        <v>Covered</v>
      </c>
      <c r="M63" s="5" t="n">
        <f aca="false">LEN(I63)-LEN(SUBSTITUTE(I63,",",""))+1</f>
        <v>1</v>
      </c>
    </row>
    <row r="64" customFormat="false" ht="23.85" hidden="false" customHeight="false" outlineLevel="0" collapsed="false">
      <c r="A64" s="5" t="s">
        <v>394</v>
      </c>
      <c r="B64" s="6" t="s">
        <v>395</v>
      </c>
      <c r="C64" s="6" t="s">
        <v>396</v>
      </c>
      <c r="D64" s="5" t="s">
        <v>390</v>
      </c>
      <c r="E64" s="5" t="s">
        <v>391</v>
      </c>
      <c r="F64" s="5" t="s">
        <v>57</v>
      </c>
      <c r="G64" s="5" t="s">
        <v>48</v>
      </c>
      <c r="H64" s="5" t="s">
        <v>88</v>
      </c>
      <c r="I64" s="5" t="s">
        <v>397</v>
      </c>
      <c r="J64" s="6" t="s">
        <v>398</v>
      </c>
      <c r="K64" s="5" t="s">
        <v>52</v>
      </c>
      <c r="L64" s="5" t="str">
        <f aca="false">IF(I64="","NO TEST","Covered")</f>
        <v>Covered</v>
      </c>
      <c r="M64" s="5" t="n">
        <f aca="false">LEN(I64)-LEN(SUBSTITUTE(I64,",",""))+1</f>
        <v>1</v>
      </c>
    </row>
    <row r="65" customFormat="false" ht="15" hidden="false" customHeight="false" outlineLevel="0" collapsed="false">
      <c r="A65" s="5" t="s">
        <v>399</v>
      </c>
      <c r="B65" s="6" t="s">
        <v>400</v>
      </c>
      <c r="C65" s="6" t="s">
        <v>401</v>
      </c>
      <c r="D65" s="5" t="s">
        <v>402</v>
      </c>
      <c r="E65" s="5" t="s">
        <v>391</v>
      </c>
      <c r="F65" s="5" t="s">
        <v>65</v>
      </c>
      <c r="G65" s="5" t="s">
        <v>34</v>
      </c>
      <c r="H65" s="5" t="s">
        <v>88</v>
      </c>
      <c r="I65" s="5" t="s">
        <v>403</v>
      </c>
      <c r="J65" s="6" t="s">
        <v>404</v>
      </c>
      <c r="K65" s="5" t="s">
        <v>52</v>
      </c>
      <c r="L65" s="5" t="str">
        <f aca="false">IF(I65="","NO TEST","Covered")</f>
        <v>Covered</v>
      </c>
      <c r="M65" s="5" t="n">
        <f aca="false">LEN(I65)-LEN(SUBSTITUTE(I65,",",""))+1</f>
        <v>1</v>
      </c>
    </row>
    <row r="66" customFormat="false" ht="23.85" hidden="false" customHeight="false" outlineLevel="0" collapsed="false">
      <c r="A66" s="5" t="s">
        <v>405</v>
      </c>
      <c r="B66" s="6" t="s">
        <v>406</v>
      </c>
      <c r="C66" s="6" t="s">
        <v>407</v>
      </c>
      <c r="D66" s="5" t="s">
        <v>408</v>
      </c>
      <c r="E66" s="5" t="s">
        <v>391</v>
      </c>
      <c r="F66" s="5" t="s">
        <v>57</v>
      </c>
      <c r="G66" s="5" t="s">
        <v>48</v>
      </c>
      <c r="H66" s="5" t="s">
        <v>49</v>
      </c>
      <c r="I66" s="5" t="s">
        <v>409</v>
      </c>
      <c r="J66" s="6" t="s">
        <v>410</v>
      </c>
      <c r="K66" s="5" t="s">
        <v>52</v>
      </c>
      <c r="L66" s="5" t="str">
        <f aca="false">IF(I66="","NO TEST","Covered")</f>
        <v>Covered</v>
      </c>
      <c r="M66" s="5" t="n">
        <f aca="false">LEN(I66)-LEN(SUBSTITUTE(I66,",",""))+1</f>
        <v>1</v>
      </c>
    </row>
    <row r="67" customFormat="false" ht="15" hidden="false" customHeight="false" outlineLevel="0" collapsed="false">
      <c r="A67" s="5" t="s">
        <v>411</v>
      </c>
      <c r="B67" s="6" t="s">
        <v>412</v>
      </c>
      <c r="C67" s="6" t="s">
        <v>413</v>
      </c>
      <c r="D67" s="5" t="s">
        <v>414</v>
      </c>
      <c r="E67" s="5" t="s">
        <v>391</v>
      </c>
      <c r="F67" s="5" t="s">
        <v>363</v>
      </c>
      <c r="G67" s="5" t="s">
        <v>34</v>
      </c>
      <c r="H67" s="5" t="s">
        <v>415</v>
      </c>
      <c r="I67" s="5" t="s">
        <v>416</v>
      </c>
      <c r="J67" s="6" t="s">
        <v>417</v>
      </c>
      <c r="K67" s="5" t="s">
        <v>52</v>
      </c>
      <c r="L67" s="5" t="str">
        <f aca="false">IF(I67="","NO TEST","Covered")</f>
        <v>Covered</v>
      </c>
      <c r="M67" s="5" t="n">
        <f aca="false">LEN(I67)-LEN(SUBSTITUTE(I67,",",""))+1</f>
        <v>1</v>
      </c>
    </row>
    <row r="68" customFormat="false" ht="23.85" hidden="false" customHeight="false" outlineLevel="0" collapsed="false">
      <c r="A68" s="5" t="s">
        <v>418</v>
      </c>
      <c r="B68" s="6" t="s">
        <v>419</v>
      </c>
      <c r="C68" s="6" t="s">
        <v>420</v>
      </c>
      <c r="D68" s="5" t="s">
        <v>421</v>
      </c>
      <c r="E68" s="5" t="s">
        <v>422</v>
      </c>
      <c r="F68" s="5" t="s">
        <v>33</v>
      </c>
      <c r="G68" s="5" t="s">
        <v>34</v>
      </c>
      <c r="H68" s="5" t="s">
        <v>423</v>
      </c>
      <c r="I68" s="5" t="s">
        <v>424</v>
      </c>
      <c r="J68" s="6" t="s">
        <v>425</v>
      </c>
      <c r="K68" s="5" t="s">
        <v>52</v>
      </c>
      <c r="L68" s="5" t="str">
        <f aca="false">IF(I68="","NO TEST","Covered")</f>
        <v>Covered</v>
      </c>
      <c r="M68" s="5" t="n">
        <f aca="false">LEN(I68)-LEN(SUBSTITUTE(I68,",",""))+1</f>
        <v>1</v>
      </c>
    </row>
    <row r="69" customFormat="false" ht="23.85" hidden="false" customHeight="false" outlineLevel="0" collapsed="false">
      <c r="A69" s="5" t="s">
        <v>426</v>
      </c>
      <c r="B69" s="6" t="s">
        <v>427</v>
      </c>
      <c r="C69" s="6" t="s">
        <v>428</v>
      </c>
      <c r="D69" s="5" t="s">
        <v>421</v>
      </c>
      <c r="E69" s="5" t="s">
        <v>422</v>
      </c>
      <c r="F69" s="5" t="s">
        <v>33</v>
      </c>
      <c r="G69" s="5" t="s">
        <v>34</v>
      </c>
      <c r="H69" s="5" t="s">
        <v>415</v>
      </c>
      <c r="I69" s="5" t="s">
        <v>429</v>
      </c>
      <c r="J69" s="6" t="s">
        <v>430</v>
      </c>
      <c r="K69" s="5" t="s">
        <v>52</v>
      </c>
      <c r="L69" s="5" t="str">
        <f aca="false">IF(I69="","NO TEST","Covered")</f>
        <v>Covered</v>
      </c>
      <c r="M69" s="5" t="n">
        <f aca="false">LEN(I69)-LEN(SUBSTITUTE(I69,",",""))+1</f>
        <v>1</v>
      </c>
    </row>
    <row r="70" customFormat="false" ht="15" hidden="false" customHeight="false" outlineLevel="0" collapsed="false">
      <c r="A70" s="5" t="s">
        <v>431</v>
      </c>
      <c r="B70" s="6" t="s">
        <v>432</v>
      </c>
      <c r="C70" s="6" t="s">
        <v>433</v>
      </c>
      <c r="D70" s="5" t="s">
        <v>434</v>
      </c>
      <c r="E70" s="5" t="s">
        <v>422</v>
      </c>
      <c r="F70" s="5" t="s">
        <v>363</v>
      </c>
      <c r="G70" s="5" t="s">
        <v>48</v>
      </c>
      <c r="H70" s="5" t="s">
        <v>415</v>
      </c>
      <c r="I70" s="5" t="s">
        <v>435</v>
      </c>
      <c r="J70" s="6" t="s">
        <v>436</v>
      </c>
      <c r="K70" s="5" t="s">
        <v>52</v>
      </c>
      <c r="L70" s="5" t="str">
        <f aca="false">IF(I70="","NO TEST","Covered")</f>
        <v>Covered</v>
      </c>
      <c r="M70" s="5" t="n">
        <f aca="false">LEN(I70)-LEN(SUBSTITUTE(I70,",",""))+1</f>
        <v>1</v>
      </c>
    </row>
    <row r="71" customFormat="false" ht="15" hidden="false" customHeight="false" outlineLevel="0" collapsed="false">
      <c r="A71" s="5" t="s">
        <v>437</v>
      </c>
      <c r="B71" s="6" t="s">
        <v>438</v>
      </c>
      <c r="C71" s="6" t="s">
        <v>439</v>
      </c>
      <c r="D71" s="5" t="s">
        <v>440</v>
      </c>
      <c r="E71" s="5" t="s">
        <v>422</v>
      </c>
      <c r="F71" s="5" t="s">
        <v>363</v>
      </c>
      <c r="G71" s="5" t="s">
        <v>34</v>
      </c>
      <c r="H71" s="5" t="s">
        <v>441</v>
      </c>
      <c r="I71" s="5" t="s">
        <v>442</v>
      </c>
      <c r="J71" s="6" t="s">
        <v>443</v>
      </c>
      <c r="K71" s="5" t="s">
        <v>52</v>
      </c>
      <c r="L71" s="5" t="str">
        <f aca="false">IF(I71="","NO TEST","Covered")</f>
        <v>Covered</v>
      </c>
      <c r="M71" s="5" t="n">
        <f aca="false">LEN(I71)-LEN(SUBSTITUTE(I71,",",""))+1</f>
        <v>1</v>
      </c>
    </row>
    <row r="72" customFormat="false" ht="15" hidden="false" customHeight="false" outlineLevel="0" collapsed="false">
      <c r="A72" s="5" t="s">
        <v>444</v>
      </c>
      <c r="B72" s="6" t="s">
        <v>445</v>
      </c>
      <c r="C72" s="6" t="s">
        <v>446</v>
      </c>
      <c r="D72" s="5" t="s">
        <v>447</v>
      </c>
      <c r="E72" s="5" t="s">
        <v>448</v>
      </c>
      <c r="F72" s="5" t="s">
        <v>65</v>
      </c>
      <c r="G72" s="5" t="s">
        <v>34</v>
      </c>
      <c r="H72" s="5" t="s">
        <v>449</v>
      </c>
      <c r="I72" s="5" t="s">
        <v>450</v>
      </c>
      <c r="J72" s="6" t="s">
        <v>451</v>
      </c>
      <c r="K72" s="5" t="s">
        <v>38</v>
      </c>
      <c r="L72" s="5" t="str">
        <f aca="false">IF(I72="","NO TEST","Covered")</f>
        <v>Covered</v>
      </c>
      <c r="M72" s="5" t="n">
        <f aca="false">LEN(I72)-LEN(SUBSTITUTE(I72,",",""))+1</f>
        <v>1</v>
      </c>
    </row>
    <row r="73" customFormat="false" ht="15" hidden="false" customHeight="false" outlineLevel="0" collapsed="false">
      <c r="A73" s="5" t="s">
        <v>452</v>
      </c>
      <c r="B73" s="6" t="s">
        <v>453</v>
      </c>
      <c r="C73" s="6" t="s">
        <v>454</v>
      </c>
      <c r="D73" s="5" t="s">
        <v>447</v>
      </c>
      <c r="E73" s="5" t="s">
        <v>448</v>
      </c>
      <c r="F73" s="5" t="s">
        <v>65</v>
      </c>
      <c r="G73" s="5" t="s">
        <v>34</v>
      </c>
      <c r="H73" s="5" t="s">
        <v>449</v>
      </c>
      <c r="I73" s="5" t="s">
        <v>455</v>
      </c>
      <c r="J73" s="6" t="s">
        <v>456</v>
      </c>
      <c r="K73" s="5" t="s">
        <v>38</v>
      </c>
      <c r="L73" s="5" t="str">
        <f aca="false">IF(I73="","NO TEST","Covered")</f>
        <v>Covered</v>
      </c>
      <c r="M73" s="5" t="n">
        <f aca="false">LEN(I73)-LEN(SUBSTITUTE(I73,",",""))+1</f>
        <v>1</v>
      </c>
    </row>
    <row r="74" customFormat="false" ht="15" hidden="false" customHeight="false" outlineLevel="0" collapsed="false">
      <c r="A74" s="5" t="s">
        <v>457</v>
      </c>
      <c r="B74" s="6" t="s">
        <v>458</v>
      </c>
      <c r="C74" s="6" t="s">
        <v>459</v>
      </c>
      <c r="D74" s="5" t="s">
        <v>447</v>
      </c>
      <c r="E74" s="5" t="s">
        <v>448</v>
      </c>
      <c r="F74" s="5" t="s">
        <v>65</v>
      </c>
      <c r="G74" s="5" t="s">
        <v>34</v>
      </c>
      <c r="H74" s="5" t="s">
        <v>449</v>
      </c>
      <c r="I74" s="5" t="s">
        <v>460</v>
      </c>
      <c r="J74" s="6" t="s">
        <v>461</v>
      </c>
      <c r="K74" s="5" t="s">
        <v>38</v>
      </c>
      <c r="L74" s="5" t="str">
        <f aca="false">IF(I74="","NO TEST","Covered")</f>
        <v>Covered</v>
      </c>
      <c r="M74" s="5" t="n">
        <f aca="false">LEN(I74)-LEN(SUBSTITUTE(I74,",",""))+1</f>
        <v>1</v>
      </c>
    </row>
    <row r="75" customFormat="false" ht="23.85" hidden="false" customHeight="false" outlineLevel="0" collapsed="false">
      <c r="A75" s="5" t="s">
        <v>462</v>
      </c>
      <c r="B75" s="6" t="s">
        <v>463</v>
      </c>
      <c r="C75" s="6" t="s">
        <v>464</v>
      </c>
      <c r="D75" s="5" t="s">
        <v>447</v>
      </c>
      <c r="E75" s="5" t="s">
        <v>448</v>
      </c>
      <c r="F75" s="5" t="s">
        <v>65</v>
      </c>
      <c r="G75" s="5" t="s">
        <v>48</v>
      </c>
      <c r="H75" s="5" t="s">
        <v>449</v>
      </c>
      <c r="I75" s="5" t="s">
        <v>465</v>
      </c>
      <c r="J75" s="6" t="s">
        <v>466</v>
      </c>
      <c r="K75" s="5" t="s">
        <v>52</v>
      </c>
      <c r="L75" s="5" t="str">
        <f aca="false">IF(I75="","NO TEST","Covered")</f>
        <v>Covered</v>
      </c>
      <c r="M75" s="5" t="n">
        <f aca="false">LEN(I75)-LEN(SUBSTITUTE(I75,",",""))+1</f>
        <v>1</v>
      </c>
    </row>
    <row r="76" customFormat="false" ht="23.85" hidden="false" customHeight="false" outlineLevel="0" collapsed="false">
      <c r="A76" s="5" t="s">
        <v>467</v>
      </c>
      <c r="B76" s="6" t="s">
        <v>468</v>
      </c>
      <c r="C76" s="6" t="s">
        <v>469</v>
      </c>
      <c r="D76" s="5" t="s">
        <v>447</v>
      </c>
      <c r="E76" s="5" t="s">
        <v>448</v>
      </c>
      <c r="F76" s="5" t="s">
        <v>57</v>
      </c>
      <c r="G76" s="5" t="s">
        <v>48</v>
      </c>
      <c r="H76" s="5" t="s">
        <v>449</v>
      </c>
      <c r="I76" s="5" t="s">
        <v>470</v>
      </c>
      <c r="J76" s="6" t="s">
        <v>471</v>
      </c>
      <c r="K76" s="5" t="s">
        <v>52</v>
      </c>
      <c r="L76" s="5" t="str">
        <f aca="false">IF(I76="","NO TEST","Covered")</f>
        <v>Covered</v>
      </c>
      <c r="M76" s="5" t="n">
        <f aca="false">LEN(I76)-LEN(SUBSTITUTE(I76,",",""))+1</f>
        <v>1</v>
      </c>
    </row>
  </sheetData>
  <dataValidations count="2">
    <dataValidation allowBlank="true" errorStyle="stop" operator="between" showDropDown="false" showErrorMessage="false" showInputMessage="false" sqref="K2:K76" type="list">
      <formula1>"Validated (simulated review),Pending live Odoo verification"</formula1>
      <formula2>0</formula2>
    </dataValidation>
    <dataValidation allowBlank="true" errorStyle="stop" operator="between" showDropDown="false" showErrorMessage="false" showInputMessage="false" sqref="G2:G7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7" t="s">
        <v>472</v>
      </c>
    </row>
    <row r="3" customFormat="false" ht="15" hidden="false" customHeight="false" outlineLevel="0" collapsed="false">
      <c r="A3" s="2" t="s">
        <v>473</v>
      </c>
      <c r="B3" s="8" t="n">
        <f aca="false">COUNTA(RTM!$A$2:$A$76)</f>
        <v>75</v>
      </c>
    </row>
    <row r="4" customFormat="false" ht="15" hidden="false" customHeight="false" outlineLevel="0" collapsed="false">
      <c r="A4" s="2" t="s">
        <v>474</v>
      </c>
      <c r="B4" s="8" t="n">
        <f aca="false">COUNTIF(RTM!$L$2:$L$76,"Covered")</f>
        <v>75</v>
      </c>
    </row>
    <row r="5" customFormat="false" ht="15" hidden="false" customHeight="false" outlineLevel="0" collapsed="false">
      <c r="A5" s="2" t="s">
        <v>475</v>
      </c>
      <c r="B5" s="8" t="n">
        <f aca="false">COUNTIF(RTM!$L$2:$L$76,"NO TEST")</f>
        <v>0</v>
      </c>
    </row>
    <row r="6" customFormat="false" ht="15" hidden="false" customHeight="false" outlineLevel="0" collapsed="false">
      <c r="A6" s="2" t="s">
        <v>38</v>
      </c>
      <c r="B6" s="8" t="n">
        <f aca="false">COUNTIF(RTM!$K$2:$K$76,"Validated (simulated review)")</f>
        <v>48</v>
      </c>
    </row>
    <row r="7" customFormat="false" ht="15" hidden="false" customHeight="false" outlineLevel="0" collapsed="false">
      <c r="A7" s="2" t="s">
        <v>52</v>
      </c>
      <c r="B7" s="8" t="n">
        <f aca="false">COUNTIF(RTM!$K$2:$K$76,"Pending live Odoo verification")</f>
        <v>27</v>
      </c>
    </row>
    <row r="8" customFormat="false" ht="15" hidden="false" customHeight="false" outlineLevel="0" collapsed="false">
      <c r="A8" s="2" t="s">
        <v>476</v>
      </c>
      <c r="B8" s="8" t="n">
        <f aca="false">COUNTIF(RTM!$G$2:$G$76,"Yes")</f>
        <v>19</v>
      </c>
    </row>
    <row r="9" customFormat="false" ht="15" hidden="false" customHeight="false" outlineLevel="0" collapsed="false">
      <c r="A9" s="2" t="s">
        <v>477</v>
      </c>
      <c r="B9" s="8" t="n">
        <f aca="false">SUM(RTM!$M$2:$M$76)</f>
        <v>77</v>
      </c>
    </row>
    <row r="12" customFormat="false" ht="15" hidden="false" customHeight="false" outlineLevel="0" collapsed="false">
      <c r="A12" s="9" t="s">
        <v>478</v>
      </c>
    </row>
    <row r="13" customFormat="false" ht="15" hidden="false" customHeight="false" outlineLevel="0" collapsed="false">
      <c r="A13" s="10" t="s">
        <v>479</v>
      </c>
      <c r="B13" s="10" t="s">
        <v>480</v>
      </c>
      <c r="C13" s="10" t="s">
        <v>481</v>
      </c>
      <c r="D13" s="10" t="s">
        <v>482</v>
      </c>
    </row>
    <row r="14" customFormat="false" ht="15" hidden="false" customHeight="false" outlineLevel="0" collapsed="false">
      <c r="A14" s="0" t="s">
        <v>32</v>
      </c>
      <c r="B14" s="0" t="n">
        <f aca="false">COUNTIF(RTM!$E$2:$E$76,A14)</f>
        <v>4</v>
      </c>
      <c r="C14" s="0" t="n">
        <f aca="false">COUNTIFS(RTM!$E$2:$E$76,A14,RTM!$G$2:$G$76,"Yes")</f>
        <v>2</v>
      </c>
      <c r="D14" s="0" t="n">
        <f aca="false">COUNTIFS(RTM!$E$2:$E$76,A14,RTM!$K$2:$K$76,"Pending live Odoo verification")</f>
        <v>2</v>
      </c>
    </row>
    <row r="15" customFormat="false" ht="15" hidden="false" customHeight="false" outlineLevel="0" collapsed="false">
      <c r="A15" s="0" t="s">
        <v>64</v>
      </c>
      <c r="B15" s="0" t="n">
        <f aca="false">COUNTIF(RTM!$E$2:$E$76,A15)</f>
        <v>9</v>
      </c>
      <c r="C15" s="0" t="n">
        <f aca="false">COUNTIFS(RTM!$E$2:$E$76,A15,RTM!$G$2:$G$76,"Yes")</f>
        <v>3</v>
      </c>
      <c r="D15" s="0" t="n">
        <f aca="false">COUNTIFS(RTM!$E$2:$E$76,A15,RTM!$K$2:$K$76,"Pending live Odoo verification")</f>
        <v>3</v>
      </c>
    </row>
    <row r="16" customFormat="false" ht="15" hidden="false" customHeight="false" outlineLevel="0" collapsed="false">
      <c r="A16" s="0" t="s">
        <v>121</v>
      </c>
      <c r="B16" s="0" t="n">
        <f aca="false">COUNTIF(RTM!$E$2:$E$76,A16)</f>
        <v>8</v>
      </c>
      <c r="C16" s="0" t="n">
        <f aca="false">COUNTIFS(RTM!$E$2:$E$76,A16,RTM!$G$2:$G$76,"Yes")</f>
        <v>1</v>
      </c>
      <c r="D16" s="0" t="n">
        <f aca="false">COUNTIFS(RTM!$E$2:$E$76,A16,RTM!$K$2:$K$76,"Pending live Odoo verification")</f>
        <v>1</v>
      </c>
    </row>
    <row r="17" customFormat="false" ht="15" hidden="false" customHeight="false" outlineLevel="0" collapsed="false">
      <c r="A17" s="0" t="s">
        <v>165</v>
      </c>
      <c r="B17" s="0" t="n">
        <f aca="false">COUNTIF(RTM!$E$2:$E$76,A17)</f>
        <v>7</v>
      </c>
      <c r="C17" s="0" t="n">
        <f aca="false">COUNTIFS(RTM!$E$2:$E$76,A17,RTM!$G$2:$G$76,"Yes")</f>
        <v>0</v>
      </c>
      <c r="D17" s="0" t="n">
        <f aca="false">COUNTIFS(RTM!$E$2:$E$76,A17,RTM!$K$2:$K$76,"Pending live Odoo verification")</f>
        <v>0</v>
      </c>
    </row>
    <row r="18" customFormat="false" ht="15" hidden="false" customHeight="false" outlineLevel="0" collapsed="false">
      <c r="A18" s="0" t="s">
        <v>203</v>
      </c>
      <c r="B18" s="0" t="n">
        <f aca="false">COUNTIF(RTM!$E$2:$E$76,A18)</f>
        <v>17</v>
      </c>
      <c r="C18" s="0" t="n">
        <f aca="false">COUNTIFS(RTM!$E$2:$E$76,A18,RTM!$G$2:$G$76,"Yes")</f>
        <v>4</v>
      </c>
      <c r="D18" s="0" t="n">
        <f aca="false">COUNTIFS(RTM!$E$2:$E$76,A18,RTM!$K$2:$K$76,"Pending live Odoo verification")</f>
        <v>4</v>
      </c>
    </row>
    <row r="19" customFormat="false" ht="15" hidden="false" customHeight="false" outlineLevel="0" collapsed="false">
      <c r="A19" s="0" t="s">
        <v>303</v>
      </c>
      <c r="B19" s="0" t="n">
        <f aca="false">COUNTIF(RTM!$E$2:$E$76,A19)</f>
        <v>12</v>
      </c>
      <c r="C19" s="0" t="n">
        <f aca="false">COUNTIFS(RTM!$E$2:$E$76,A19,RTM!$G$2:$G$76,"Yes")</f>
        <v>3</v>
      </c>
      <c r="D19" s="0" t="n">
        <f aca="false">COUNTIFS(RTM!$E$2:$E$76,A19,RTM!$K$2:$K$76,"Pending live Odoo verification")</f>
        <v>5</v>
      </c>
    </row>
    <row r="20" customFormat="false" ht="15" hidden="false" customHeight="false" outlineLevel="0" collapsed="false">
      <c r="A20" s="0" t="s">
        <v>148</v>
      </c>
      <c r="B20" s="0" t="n">
        <f aca="false">COUNTIF(RTM!$E$2:$E$76,A20)</f>
        <v>4</v>
      </c>
      <c r="C20" s="0" t="n">
        <f aca="false">COUNTIFS(RTM!$E$2:$E$76,A20,RTM!$G$2:$G$76,"Yes")</f>
        <v>1</v>
      </c>
      <c r="D20" s="0" t="n">
        <f aca="false">COUNTIFS(RTM!$E$2:$E$76,A20,RTM!$K$2:$K$76,"Pending live Odoo verification")</f>
        <v>1</v>
      </c>
    </row>
    <row r="21" customFormat="false" ht="15" hidden="false" customHeight="false" outlineLevel="0" collapsed="false">
      <c r="A21" s="0" t="s">
        <v>391</v>
      </c>
      <c r="B21" s="0" t="n">
        <f aca="false">COUNTIF(RTM!$E$2:$E$76,A21)</f>
        <v>5</v>
      </c>
      <c r="C21" s="0" t="n">
        <f aca="false">COUNTIFS(RTM!$E$2:$E$76,A21,RTM!$G$2:$G$76,"Yes")</f>
        <v>2</v>
      </c>
      <c r="D21" s="0" t="n">
        <f aca="false">COUNTIFS(RTM!$E$2:$E$76,A21,RTM!$K$2:$K$76,"Pending live Odoo verification")</f>
        <v>5</v>
      </c>
    </row>
    <row r="22" customFormat="false" ht="15" hidden="false" customHeight="false" outlineLevel="0" collapsed="false">
      <c r="A22" s="0" t="s">
        <v>422</v>
      </c>
      <c r="B22" s="0" t="n">
        <f aca="false">COUNTIF(RTM!$E$2:$E$76,A22)</f>
        <v>4</v>
      </c>
      <c r="C22" s="0" t="n">
        <f aca="false">COUNTIFS(RTM!$E$2:$E$76,A22,RTM!$G$2:$G$76,"Yes")</f>
        <v>1</v>
      </c>
      <c r="D22" s="0" t="n">
        <f aca="false">COUNTIFS(RTM!$E$2:$E$76,A22,RTM!$K$2:$K$76,"Pending live Odoo verification")</f>
        <v>4</v>
      </c>
    </row>
    <row r="23" customFormat="false" ht="15" hidden="false" customHeight="false" outlineLevel="0" collapsed="false">
      <c r="A23" s="0" t="s">
        <v>448</v>
      </c>
      <c r="B23" s="0" t="n">
        <f aca="false">COUNTIF(RTM!$E$2:$E$76,A23)</f>
        <v>5</v>
      </c>
      <c r="C23" s="0" t="n">
        <f aca="false">COUNTIFS(RTM!$E$2:$E$76,A23,RTM!$G$2:$G$76,"Yes")</f>
        <v>2</v>
      </c>
      <c r="D23" s="0" t="n">
        <f aca="false">COUNTIFS(RTM!$E$2:$E$76,A23,RTM!$K$2:$K$76,"Pending live Odoo verification")</f>
        <v>2</v>
      </c>
    </row>
    <row r="24" customFormat="false" ht="15" hidden="false" customHeight="false" outlineLevel="0" collapsed="false">
      <c r="A24" s="11" t="s">
        <v>483</v>
      </c>
      <c r="B24" s="12" t="n">
        <f aca="false">SUM(B14:B23)</f>
        <v>75</v>
      </c>
      <c r="C24" s="12" t="n">
        <f aca="false">SUM(C14:C23)</f>
        <v>19</v>
      </c>
      <c r="D24" s="12" t="n">
        <f aca="false">SUM(D14:D23)</f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2026-10-29T08:32:39Z</dcterms:created>
  <dc:creator>openpyxl</dc:creator>
  <dc:description/>
  <dc:language>en-US</dc:language>
  <cp:lastModifiedBy/>
  <dcterms:modified xsi:type="dcterms:W3CDTF">2026-10-29T08:32:39Z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