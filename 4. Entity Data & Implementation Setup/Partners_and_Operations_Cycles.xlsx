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7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6.xml" ContentType="application/vnd.openxmlformats-officedocument.spreadsheetml.table+xml"/>
  <Override PartName="/xl/tables/table18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 Master" sheetId="2" state="visible" r:id="rId4"/>
    <sheet name="Vendor Master" sheetId="3" state="visible" r:id="rId5"/>
    <sheet name="Sales Orders" sheetId="4" state="visible" r:id="rId6"/>
    <sheet name="Sales Order Lines" sheetId="5" state="visible" r:id="rId7"/>
    <sheet name="CRM Pipeline" sheetId="6" state="visible" r:id="rId8"/>
    <sheet name="Customer Invoices and Payments" sheetId="7" state="visible" r:id="rId9"/>
    <sheet name="Purchase Orders" sheetId="8" state="visible" r:id="rId10"/>
    <sheet name="Purchase Order Lines" sheetId="9" state="visible" r:id="rId11"/>
    <sheet name="Vendor Bills and Payments" sheetId="10" state="visible" r:id="rId12"/>
    <sheet name="Delivery and Receipt Records" sheetId="11" state="visible" r:id="rId13"/>
    <sheet name="Customer and Supplier Returns" sheetId="12" state="visible" r:id="rId14"/>
    <sheet name="Monthly Business Summary" sheetId="13" state="visible" r:id="rId15"/>
    <sheet name="Transaction Reconcili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<sst xmlns="http://schemas.openxmlformats.org/spreadsheetml/2006/main" count="6763" uniqueCount="1459">
  <si>
    <t xml:space="preserve">RedLine Medical — Partners and Operations Cycles</t>
  </si>
  <si>
    <t xml:space="preserve">Company</t>
  </si>
  <si>
    <t xml:space="preserve">RedLine Medical Supplies &amp; Equipment Trading</t>
  </si>
  <si>
    <t xml:space="preserve">Reporting period</t>
  </si>
  <si>
    <t xml:space="preserve">1 May 2026 – 30 September 2026 (five completed months)</t>
  </si>
  <si>
    <t xml:space="preserve">Document date</t>
  </si>
  <si>
    <t xml:space="preserve">2026-10-25</t>
  </si>
  <si>
    <t xml:space="preserve">Version</t>
  </si>
  <si>
    <t xml:space="preserve">1.0 — graduation-project simulation</t>
  </si>
  <si>
    <t xml:space="preserve">Currency</t>
  </si>
  <si>
    <t xml:space="preserve">EGP. No foreign-currency transactions; imported items are priced in EGP on the vendor bill (assumption).</t>
  </si>
  <si>
    <t xml:space="preserve">Nature of data</t>
  </si>
  <si>
    <t xml:space="preserve">SIMULATED. All customers and vendors are fictional or clearly illustrative; none is a verified real customer, manufacturer or authorized distributor. Tax IDs are placeholders. Transactions were generated by a deterministic Python model; nothing was imported into a live Odoo server.</t>
  </si>
  <si>
    <t xml:space="preserve">VAT assumption</t>
  </si>
  <si>
    <t xml:space="preserve">14% output/input VAT applied on all lines (assumed standard rate; applicability to specific medical items must be confirmed by a qualified Egyptian tax advisor).</t>
  </si>
  <si>
    <t xml:space="preserve">Payments</t>
  </si>
  <si>
    <t xml:space="preserve">Customer receipts and vendor payments are simulated through journals CIB1, NBE1 and branch cash safes; timing follows each partner's payment-behaviour profile.</t>
  </si>
  <si>
    <t xml:space="preserve">Cut-over</t>
  </si>
  <si>
    <t xml:space="preserve">Opening receivables/payables assumed nil at 1 May 2026 (simulated clean cut-over). Opening stock is carried in the Products workbook.</t>
  </si>
  <si>
    <t xml:space="preserve">Formulas</t>
  </si>
  <si>
    <t xml:space="preserve">Balances, status flags, monthly summaries and reconciliation checks are live Excel formulas. 'Ledger' values come from the simulated journal model as independent cross-checks.</t>
  </si>
  <si>
    <t xml:space="preserve">Sheets</t>
  </si>
  <si>
    <t xml:space="preserve">Customer Master · Vendor Master · Sales Orders · Sales Order Lines · CRM Pipeline · Customer Invoices and Payments · Purchase Orders · Purchase Order Lines · Vendor Bills and Payments · Delivery and Receipt Records · Customer and Supplier Returns · Monthly Business Summary · Transaction Reconciliation</t>
  </si>
  <si>
    <t xml:space="preserve">Customer ID</t>
  </si>
  <si>
    <t xml:space="preserve">Name (EN)</t>
  </si>
  <si>
    <t xml:space="preserve">الاسم (AR)</t>
  </si>
  <si>
    <t xml:space="preserve">Classification</t>
  </si>
  <si>
    <t xml:space="preserve">City</t>
  </si>
  <si>
    <t xml:space="preserve">Address (illustrative)</t>
  </si>
  <si>
    <t xml:space="preserve">Contact Role</t>
  </si>
  <si>
    <t xml:space="preserve">Payment Terms (days)</t>
  </si>
  <si>
    <t xml:space="preserve">Credit Limit (EGP)</t>
  </si>
  <si>
    <t xml:space="preserve">Tax ID (placeholder)</t>
  </si>
  <si>
    <t xml:space="preserve">Responsible Branch</t>
  </si>
  <si>
    <t xml:space="preserve">Contract Discount</t>
  </si>
  <si>
    <t xml:space="preserve">Peak Receivable Exposure (EGP, simulated)</t>
  </si>
  <si>
    <t xml:space="preserve">Balance 30-Sep-2026 (EGP)</t>
  </si>
  <si>
    <t xml:space="preserve">Credit Utilisation</t>
  </si>
  <si>
    <t xml:space="preserve">CUS-001</t>
  </si>
  <si>
    <t xml:space="preserve">Al Salam Teaching Hospital</t>
  </si>
  <si>
    <t xml:space="preserve">مستشفى السلام التعليمي</t>
  </si>
  <si>
    <t xml:space="preserve">Hospital</t>
  </si>
  <si>
    <t xml:space="preserve">Cairo</t>
  </si>
  <si>
    <t xml:space="preserve">12 Hospital Rd, Abbassia, Cairo</t>
  </si>
  <si>
    <t xml:space="preserve">Procurement Manager</t>
  </si>
  <si>
    <t xml:space="preserve">TAXID-PLACEHOLDER-001</t>
  </si>
  <si>
    <t xml:space="preserve">BR-NSC</t>
  </si>
  <si>
    <t xml:space="preserve">CUS-002</t>
  </si>
  <si>
    <t xml:space="preserve">Nile Valley Medical Center</t>
  </si>
  <si>
    <t xml:space="preserve">مركز وادي النيل الطبي</t>
  </si>
  <si>
    <t xml:space="preserve">Giza</t>
  </si>
  <si>
    <t xml:space="preserve">7 Nile Corniche St, Giza</t>
  </si>
  <si>
    <t xml:space="preserve">Biomedical Engineering Head</t>
  </si>
  <si>
    <t xml:space="preserve">TAXID-PLACEHOLDER-002</t>
  </si>
  <si>
    <t xml:space="preserve">BR-MOH</t>
  </si>
  <si>
    <t xml:space="preserve">CUS-003</t>
  </si>
  <si>
    <t xml:space="preserve">Delta Care Hospital</t>
  </si>
  <si>
    <t xml:space="preserve">مستشفى دلتا كير</t>
  </si>
  <si>
    <t xml:space="preserve">Mansoura</t>
  </si>
  <si>
    <t xml:space="preserve">31 El Gomhoria St, Mansoura</t>
  </si>
  <si>
    <t xml:space="preserve">Purchasing Director</t>
  </si>
  <si>
    <t xml:space="preserve">TAXID-PLACEHOLDER-003</t>
  </si>
  <si>
    <t xml:space="preserve">CUS-004</t>
  </si>
  <si>
    <t xml:space="preserve">Alexandria Coastal Hospital</t>
  </si>
  <si>
    <t xml:space="preserve">مستشفى الإسكندرية الساحلي</t>
  </si>
  <si>
    <t xml:space="preserve">Alexandria</t>
  </si>
  <si>
    <t xml:space="preserve">90 Corniche Rd, Alexandria</t>
  </si>
  <si>
    <t xml:space="preserve">Supply Chain Manager</t>
  </si>
  <si>
    <t xml:space="preserve">TAXID-PLACEHOLDER-004</t>
  </si>
  <si>
    <t xml:space="preserve">CUS-005</t>
  </si>
  <si>
    <t xml:space="preserve">Nasr City Family Clinics</t>
  </si>
  <si>
    <t xml:space="preserve">عيادات مدينة نصر العائلية</t>
  </si>
  <si>
    <t xml:space="preserve">Clinic</t>
  </si>
  <si>
    <t xml:space="preserve">14 Abbas El Akkad St, Nasr City</t>
  </si>
  <si>
    <t xml:space="preserve">Clinic Administrator</t>
  </si>
  <si>
    <t xml:space="preserve">TAXID-PLACEHOLDER-005</t>
  </si>
  <si>
    <t xml:space="preserve">CUS-006</t>
  </si>
  <si>
    <t xml:space="preserve">Heliopolis Diagnostic Laboratories</t>
  </si>
  <si>
    <t xml:space="preserve">معامل مصر الجديدة التشخيصية</t>
  </si>
  <si>
    <t xml:space="preserve">Laboratory</t>
  </si>
  <si>
    <t xml:space="preserve">5 Baghdad St, Heliopolis</t>
  </si>
  <si>
    <t xml:space="preserve">Lab Operations Manager</t>
  </si>
  <si>
    <t xml:space="preserve">TAXID-PLACEHOLDER-006</t>
  </si>
  <si>
    <t xml:space="preserve">CUS-007</t>
  </si>
  <si>
    <t xml:space="preserve">Giza Advanced Imaging Center</t>
  </si>
  <si>
    <t xml:space="preserve">مركز الجيزة المتقدم للأشعة</t>
  </si>
  <si>
    <t xml:space="preserve">Imaging Center</t>
  </si>
  <si>
    <t xml:space="preserve">40 Mohy El Din Abou El Ezz St, Dokki</t>
  </si>
  <si>
    <t xml:space="preserve">Medical Director</t>
  </si>
  <si>
    <t xml:space="preserve">TAXID-PLACEHOLDER-007</t>
  </si>
  <si>
    <t xml:space="preserve">CUS-008</t>
  </si>
  <si>
    <t xml:space="preserve">New Cairo Women's Health Clinic</t>
  </si>
  <si>
    <t xml:space="preserve">عيادة صحة المرأة بالقاهرة الجديدة</t>
  </si>
  <si>
    <t xml:space="preserve">New Cairo</t>
  </si>
  <si>
    <t xml:space="preserve">8 South 90th St, New Cairo</t>
  </si>
  <si>
    <t xml:space="preserve">Clinic Manager</t>
  </si>
  <si>
    <t xml:space="preserve">TAXID-PLACEHOLDER-008</t>
  </si>
  <si>
    <t xml:space="preserve">CUS-009</t>
  </si>
  <si>
    <t xml:space="preserve">Upper Egypt Medical Complex</t>
  </si>
  <si>
    <t xml:space="preserve">مجمع صعيد مصر الطبي</t>
  </si>
  <si>
    <t xml:space="preserve">Assiut</t>
  </si>
  <si>
    <t xml:space="preserve">3 University St, Assiut</t>
  </si>
  <si>
    <t xml:space="preserve">Procurement Officer</t>
  </si>
  <si>
    <t xml:space="preserve">TAXID-PLACEHOLDER-009</t>
  </si>
  <si>
    <t xml:space="preserve">CUS-010</t>
  </si>
  <si>
    <t xml:space="preserve">Maadi Pediatric Hospital</t>
  </si>
  <si>
    <t xml:space="preserve">مستشفى المعادي للأطفال</t>
  </si>
  <si>
    <t xml:space="preserve">21 Road 233, Degla, Maadi</t>
  </si>
  <si>
    <t xml:space="preserve">Head of Procurement</t>
  </si>
  <si>
    <t xml:space="preserve">TAXID-PLACEHOLDER-010</t>
  </si>
  <si>
    <t xml:space="preserve">BR-MAA</t>
  </si>
  <si>
    <t xml:space="preserve">CUS-011</t>
  </si>
  <si>
    <t xml:space="preserve">Red Sea Emergency Hospital</t>
  </si>
  <si>
    <t xml:space="preserve">مستشفى البحر الأحمر للطوارئ</t>
  </si>
  <si>
    <t xml:space="preserve">Hurghada</t>
  </si>
  <si>
    <t xml:space="preserve">2 Sheraton Rd, Hurghada</t>
  </si>
  <si>
    <t xml:space="preserve">Hospital Administrator</t>
  </si>
  <si>
    <t xml:space="preserve">TAXID-PLACEHOLDER-011</t>
  </si>
  <si>
    <t xml:space="preserve">CUS-012</t>
  </si>
  <si>
    <t xml:space="preserve">Zagazig Dialysis Center</t>
  </si>
  <si>
    <t xml:space="preserve">مركز الزقازيق لغسيل الكلى</t>
  </si>
  <si>
    <t xml:space="preserve">Healthcare Provider</t>
  </si>
  <si>
    <t xml:space="preserve">Zagazig</t>
  </si>
  <si>
    <t xml:space="preserve">16 Saad Zaghloul St, Zagazig</t>
  </si>
  <si>
    <t xml:space="preserve">Center Manager</t>
  </si>
  <si>
    <t xml:space="preserve">TAXID-PLACEHOLDER-012</t>
  </si>
  <si>
    <t xml:space="preserve">CUS-013</t>
  </si>
  <si>
    <t xml:space="preserve">Walk-in Retail Customers (Maadi)</t>
  </si>
  <si>
    <t xml:space="preserve">عملاء التجزئة - المعادي</t>
  </si>
  <si>
    <t xml:space="preserve">Individual / Retail</t>
  </si>
  <si>
    <t xml:space="preserve">Maadi Branch retail counter</t>
  </si>
  <si>
    <t xml:space="preserve">Retail Counter Supervisor</t>
  </si>
  <si>
    <t xml:space="preserve">n/a (retail)</t>
  </si>
  <si>
    <t xml:space="preserve">Vendor ID</t>
  </si>
  <si>
    <t xml:space="preserve">City / Country</t>
  </si>
  <si>
    <t xml:space="preserve">Paying Bank</t>
  </si>
  <si>
    <t xml:space="preserve">Verified Authorized Distributor?</t>
  </si>
  <si>
    <t xml:space="preserve">Payable Balance 30-Sep-2026 (EGP)</t>
  </si>
  <si>
    <t xml:space="preserve">VEN-001</t>
  </si>
  <si>
    <t xml:space="preserve">Helios Medical Systems GmbH</t>
  </si>
  <si>
    <t xml:space="preserve">هيليوس ميديكال سيستمز</t>
  </si>
  <si>
    <t xml:space="preserve">Manufacturer (illustrative)</t>
  </si>
  <si>
    <t xml:space="preserve">Hamburg, Germany</t>
  </si>
  <si>
    <t xml:space="preserve">Illustrative address, Hamburg</t>
  </si>
  <si>
    <t xml:space="preserve">Export Sales Manager</t>
  </si>
  <si>
    <t xml:space="preserve">CIB (simulated relationship)</t>
  </si>
  <si>
    <t xml:space="preserve">No - illustrative partner; authorization not verified</t>
  </si>
  <si>
    <t xml:space="preserve">VEN-002</t>
  </si>
  <si>
    <t xml:space="preserve">Orient Imaging Technologies Co.</t>
  </si>
  <si>
    <t xml:space="preserve">أورينت لتقنيات التصوير</t>
  </si>
  <si>
    <t xml:space="preserve">Shenzhen, China</t>
  </si>
  <si>
    <t xml:space="preserve">Illustrative address, Shenzhen</t>
  </si>
  <si>
    <t xml:space="preserve">Key Accounts Manager</t>
  </si>
  <si>
    <t xml:space="preserve">VEN-003</t>
  </si>
  <si>
    <t xml:space="preserve">MediPlast Industries Egypt</t>
  </si>
  <si>
    <t xml:space="preserve">ميدي بلاست الصناعية مصر</t>
  </si>
  <si>
    <t xml:space="preserve">Local Manufacturer (illustrative)</t>
  </si>
  <si>
    <t xml:space="preserve">10th of Ramadan City, Egypt</t>
  </si>
  <si>
    <t xml:space="preserve">Industrial Zone B2, 10th of Ramadan City</t>
  </si>
  <si>
    <t xml:space="preserve">Sales Supervisor</t>
  </si>
  <si>
    <t xml:space="preserve">NBE (simulated relationship)</t>
  </si>
  <si>
    <t xml:space="preserve">VEN-004</t>
  </si>
  <si>
    <t xml:space="preserve">Pharos Surgical Supplies</t>
  </si>
  <si>
    <t xml:space="preserve">فاروس للمستلزمات الجراحية</t>
  </si>
  <si>
    <t xml:space="preserve">Local Distributor (illustrative)</t>
  </si>
  <si>
    <t xml:space="preserve">Cairo, Egypt</t>
  </si>
  <si>
    <t xml:space="preserve">9 Ramses St, Downtown Cairo</t>
  </si>
  <si>
    <t xml:space="preserve">Account Executive</t>
  </si>
  <si>
    <t xml:space="preserve">VEN-005</t>
  </si>
  <si>
    <t xml:space="preserve">Anatolia Biomed Distribution</t>
  </si>
  <si>
    <t xml:space="preserve">أناضول للتوزيع الطبي</t>
  </si>
  <si>
    <t xml:space="preserve">International Distributor (illustrative)</t>
  </si>
  <si>
    <t xml:space="preserve">Istanbul, Türkiye</t>
  </si>
  <si>
    <t xml:space="preserve">Illustrative address, Istanbul</t>
  </si>
  <si>
    <t xml:space="preserve">Regional Sales Manager</t>
  </si>
  <si>
    <t xml:space="preserve">VEN-006</t>
  </si>
  <si>
    <t xml:space="preserve">CareTech Spare Parts Trading</t>
  </si>
  <si>
    <t xml:space="preserve">كير تك لتجارة قطع الغيار</t>
  </si>
  <si>
    <t xml:space="preserve">33 Shubra St, Cairo</t>
  </si>
  <si>
    <t xml:space="preserve">Parts Sales Coordinator</t>
  </si>
  <si>
    <t xml:space="preserve">SO No</t>
  </si>
  <si>
    <t xml:space="preserve">Order Date</t>
  </si>
  <si>
    <t xml:space="preserve">Month</t>
  </si>
  <si>
    <t xml:space="preserve">Customer</t>
  </si>
  <si>
    <t xml:space="preserve">Branch</t>
  </si>
  <si>
    <t xml:space="preserve">Status (30-Sep-2026)</t>
  </si>
  <si>
    <t xml:space="preserve">Delivery Orders</t>
  </si>
  <si>
    <t xml:space="preserve">Customer Invoice</t>
  </si>
  <si>
    <t xml:space="preserve">SO/2026/0001</t>
  </si>
  <si>
    <t xml:space="preserve">2026-05</t>
  </si>
  <si>
    <t xml:space="preserve">Fully Delivered</t>
  </si>
  <si>
    <t xml:space="preserve">CON/OUT/00001, EQP/OUT/00001</t>
  </si>
  <si>
    <t xml:space="preserve">INV/2026/00001</t>
  </si>
  <si>
    <t xml:space="preserve">SO/2026/0002</t>
  </si>
  <si>
    <t xml:space="preserve">EQP/OUT/00002, SPR/OUT/00001</t>
  </si>
  <si>
    <t xml:space="preserve">INV/2026/00002</t>
  </si>
  <si>
    <t xml:space="preserve">SO/2026/0003</t>
  </si>
  <si>
    <t xml:space="preserve">CON/OUT/00004, EQP/OUT/00003</t>
  </si>
  <si>
    <t xml:space="preserve">INV/2026/00007</t>
  </si>
  <si>
    <t xml:space="preserve">SO/2026/0004</t>
  </si>
  <si>
    <t xml:space="preserve">CON/OUT/00002, SPR/OUT/00002</t>
  </si>
  <si>
    <t xml:space="preserve">INV/2026/00005</t>
  </si>
  <si>
    <t xml:space="preserve">SO/2026/0005</t>
  </si>
  <si>
    <t xml:space="preserve">SPR/OUT/00003</t>
  </si>
  <si>
    <t xml:space="preserve">INV/2026/00003</t>
  </si>
  <si>
    <t xml:space="preserve">SO/2026/0006</t>
  </si>
  <si>
    <t xml:space="preserve">CON/OUT/00003</t>
  </si>
  <si>
    <t xml:space="preserve">INV/2026/00004</t>
  </si>
  <si>
    <t xml:space="preserve">SO/2026/0007</t>
  </si>
  <si>
    <t xml:space="preserve">CON/OUT/00006, EQP/OUT/00004, SPR/OUT/00005</t>
  </si>
  <si>
    <t xml:space="preserve">INV/2026/00009</t>
  </si>
  <si>
    <t xml:space="preserve">SO/2026/0008</t>
  </si>
  <si>
    <t xml:space="preserve">CON/OUT/00005, SPR/OUT/00004</t>
  </si>
  <si>
    <t xml:space="preserve">INV/2026/00006</t>
  </si>
  <si>
    <t xml:space="preserve">SO/2026/0009</t>
  </si>
  <si>
    <t xml:space="preserve">CON/OUT/00007</t>
  </si>
  <si>
    <t xml:space="preserve">INV/2026/00008</t>
  </si>
  <si>
    <t xml:space="preserve">SO/2026/0010</t>
  </si>
  <si>
    <t xml:space="preserve">CON/OUT/00008</t>
  </si>
  <si>
    <t xml:space="preserve">INV/2026/00010</t>
  </si>
  <si>
    <t xml:space="preserve">SO/2026/0011</t>
  </si>
  <si>
    <t xml:space="preserve">CON/OUT/00009</t>
  </si>
  <si>
    <t xml:space="preserve">INV/2026/00012</t>
  </si>
  <si>
    <t xml:space="preserve">SO/2026/0012</t>
  </si>
  <si>
    <t xml:space="preserve">CON/OUT/00010, EQP/OUT/00005, SPR/OUT/00006</t>
  </si>
  <si>
    <t xml:space="preserve">INV/2026/00011</t>
  </si>
  <si>
    <t xml:space="preserve">SO/2026/0013</t>
  </si>
  <si>
    <t xml:space="preserve">CON/OUT/00011</t>
  </si>
  <si>
    <t xml:space="preserve">INV/2026/00013</t>
  </si>
  <si>
    <t xml:space="preserve">SO/2026/0014</t>
  </si>
  <si>
    <t xml:space="preserve">CON/OUT/00012, EQP/OUT/00006</t>
  </si>
  <si>
    <t xml:space="preserve">INV/2026/00014</t>
  </si>
  <si>
    <t xml:space="preserve">SO/2026/0015</t>
  </si>
  <si>
    <t xml:space="preserve">CON/OUT/00013, SPR/OUT/00007</t>
  </si>
  <si>
    <t xml:space="preserve">INV/2026/00015</t>
  </si>
  <si>
    <t xml:space="preserve">SO/2026/0016</t>
  </si>
  <si>
    <t xml:space="preserve">CON/OUT/00014, EQP/OUT/00007</t>
  </si>
  <si>
    <t xml:space="preserve">INV/2026/00016</t>
  </si>
  <si>
    <t xml:space="preserve">SO/2026/0017</t>
  </si>
  <si>
    <t xml:space="preserve">2026-06</t>
  </si>
  <si>
    <t xml:space="preserve">EQP/OUT/00008</t>
  </si>
  <si>
    <t xml:space="preserve">INV/2026/00018</t>
  </si>
  <si>
    <t xml:space="preserve">SO/2026/0018</t>
  </si>
  <si>
    <t xml:space="preserve">CON/OUT/00015</t>
  </si>
  <si>
    <t xml:space="preserve">INV/2026/00017</t>
  </si>
  <si>
    <t xml:space="preserve">SO/2026/0019</t>
  </si>
  <si>
    <t xml:space="preserve">CON/OUT/00016</t>
  </si>
  <si>
    <t xml:space="preserve">INV/2026/00019</t>
  </si>
  <si>
    <t xml:space="preserve">SO/2026/0020</t>
  </si>
  <si>
    <t xml:space="preserve">CON/OUT/00017, EQP/OUT/00009</t>
  </si>
  <si>
    <t xml:space="preserve">INV/2026/00022</t>
  </si>
  <si>
    <t xml:space="preserve">SO/2026/0021</t>
  </si>
  <si>
    <t xml:space="preserve">CON/OUT/00018</t>
  </si>
  <si>
    <t xml:space="preserve">INV/2026/00020</t>
  </si>
  <si>
    <t xml:space="preserve">SO/2026/0022</t>
  </si>
  <si>
    <t xml:space="preserve">CON/OUT/00020, EQP/OUT/00010</t>
  </si>
  <si>
    <t xml:space="preserve">INV/2026/00023</t>
  </si>
  <si>
    <t xml:space="preserve">SO/2026/0023</t>
  </si>
  <si>
    <t xml:space="preserve">CON/OUT/00019</t>
  </si>
  <si>
    <t xml:space="preserve">INV/2026/00021</t>
  </si>
  <si>
    <t xml:space="preserve">SO/2026/0024</t>
  </si>
  <si>
    <t xml:space="preserve">CON/OUT/00021</t>
  </si>
  <si>
    <t xml:space="preserve">INV/2026/00024</t>
  </si>
  <si>
    <t xml:space="preserve">SO/2026/0025</t>
  </si>
  <si>
    <t xml:space="preserve">CON/OUT/00022</t>
  </si>
  <si>
    <t xml:space="preserve">INV/2026/00025</t>
  </si>
  <si>
    <t xml:space="preserve">SO/2026/0026</t>
  </si>
  <si>
    <t xml:space="preserve">CON/OUT/00023, EQP/OUT/00011</t>
  </si>
  <si>
    <t xml:space="preserve">INV/2026/00026</t>
  </si>
  <si>
    <t xml:space="preserve">SO/2026/0027</t>
  </si>
  <si>
    <t xml:space="preserve">CON/OUT/00024</t>
  </si>
  <si>
    <t xml:space="preserve">INV/2026/00027</t>
  </si>
  <si>
    <t xml:space="preserve">SO/2026/0028</t>
  </si>
  <si>
    <t xml:space="preserve">CON/OUT/00025, SPR/OUT/00008</t>
  </si>
  <si>
    <t xml:space="preserve">INV/2026/00028</t>
  </si>
  <si>
    <t xml:space="preserve">SO/2026/0029</t>
  </si>
  <si>
    <t xml:space="preserve">CON/OUT/00027, EQP/OUT/00012</t>
  </si>
  <si>
    <t xml:space="preserve">INV/2026/00031</t>
  </si>
  <si>
    <t xml:space="preserve">SO/2026/0030</t>
  </si>
  <si>
    <t xml:space="preserve">CON/OUT/00026</t>
  </si>
  <si>
    <t xml:space="preserve">INV/2026/00029</t>
  </si>
  <si>
    <t xml:space="preserve">SO/2026/0031</t>
  </si>
  <si>
    <t xml:space="preserve">CON/OUT/00028, EQP/OUT/00013</t>
  </si>
  <si>
    <t xml:space="preserve">INV/2026/00030</t>
  </si>
  <si>
    <t xml:space="preserve">SO/2026/0032</t>
  </si>
  <si>
    <t xml:space="preserve">EQP/OUT/00014, SPR/OUT/00009</t>
  </si>
  <si>
    <t xml:space="preserve">INV/2026/00032</t>
  </si>
  <si>
    <t xml:space="preserve">SO/2026/0033</t>
  </si>
  <si>
    <t xml:space="preserve">2026-07</t>
  </si>
  <si>
    <t xml:space="preserve">CON/OUT/00029</t>
  </si>
  <si>
    <t xml:space="preserve">INV/2026/00033</t>
  </si>
  <si>
    <t xml:space="preserve">SO/2026/0034</t>
  </si>
  <si>
    <t xml:space="preserve">CON/OUT/00030, EQP/OUT/00015</t>
  </si>
  <si>
    <t xml:space="preserve">INV/2026/00034</t>
  </si>
  <si>
    <t xml:space="preserve">SO/2026/0035</t>
  </si>
  <si>
    <t xml:space="preserve">CON/OUT/00031, EQP/OUT/00016, SPR/OUT/00010</t>
  </si>
  <si>
    <t xml:space="preserve">INV/2026/00038</t>
  </si>
  <si>
    <t xml:space="preserve">SO/2026/0036</t>
  </si>
  <si>
    <t xml:space="preserve">CON/OUT/00032, SPR/OUT/00011</t>
  </si>
  <si>
    <t xml:space="preserve">INV/2026/00035</t>
  </si>
  <si>
    <t xml:space="preserve">SO/2026/0037</t>
  </si>
  <si>
    <t xml:space="preserve">CON/OUT/00033</t>
  </si>
  <si>
    <t xml:space="preserve">INV/2026/00036</t>
  </si>
  <si>
    <t xml:space="preserve">SO/2026/0038</t>
  </si>
  <si>
    <t xml:space="preserve">EQP/OUT/00017, SPR/OUT/00012</t>
  </si>
  <si>
    <t xml:space="preserve">INV/2026/00039</t>
  </si>
  <si>
    <t xml:space="preserve">SO/2026/0039</t>
  </si>
  <si>
    <t xml:space="preserve">CON/OUT/00034</t>
  </si>
  <si>
    <t xml:space="preserve">INV/2026/00037</t>
  </si>
  <si>
    <t xml:space="preserve">SO/2026/0040</t>
  </si>
  <si>
    <t xml:space="preserve">CON/OUT/00035, EQP/OUT/00018</t>
  </si>
  <si>
    <t xml:space="preserve">INV/2026/00040</t>
  </si>
  <si>
    <t xml:space="preserve">SO/2026/0041</t>
  </si>
  <si>
    <t xml:space="preserve">CON/OUT/00037, EQP/OUT/00019</t>
  </si>
  <si>
    <t xml:space="preserve">INV/2026/00043</t>
  </si>
  <si>
    <t xml:space="preserve">SO/2026/0042</t>
  </si>
  <si>
    <t xml:space="preserve">CON/OUT/00039, EQP/OUT/00021</t>
  </si>
  <si>
    <t xml:space="preserve">INV/2026/00044</t>
  </si>
  <si>
    <t xml:space="preserve">SO/2026/0043</t>
  </si>
  <si>
    <t xml:space="preserve">CON/OUT/00038, EQP/OUT/00020</t>
  </si>
  <si>
    <t xml:space="preserve">INV/2026/00041</t>
  </si>
  <si>
    <t xml:space="preserve">SO/2026/0044</t>
  </si>
  <si>
    <t xml:space="preserve">CON/OUT/00036, SPR/OUT/00013</t>
  </si>
  <si>
    <t xml:space="preserve">INV/2026/00042</t>
  </si>
  <si>
    <t xml:space="preserve">SO/2026/0045</t>
  </si>
  <si>
    <t xml:space="preserve">CON/OUT/00040</t>
  </si>
  <si>
    <t xml:space="preserve">INV/2026/00045</t>
  </si>
  <si>
    <t xml:space="preserve">SO/2026/0046</t>
  </si>
  <si>
    <t xml:space="preserve">CON/OUT/00041</t>
  </si>
  <si>
    <t xml:space="preserve">INV/2026/00046</t>
  </si>
  <si>
    <t xml:space="preserve">SO/2026/0047</t>
  </si>
  <si>
    <t xml:space="preserve">CON/OUT/00042, SPR/OUT/00014</t>
  </si>
  <si>
    <t xml:space="preserve">INV/2026/00047</t>
  </si>
  <si>
    <t xml:space="preserve">SO/2026/0048</t>
  </si>
  <si>
    <t xml:space="preserve">CON/OUT/00043, EQP/OUT/00022</t>
  </si>
  <si>
    <t xml:space="preserve">INV/2026/00050</t>
  </si>
  <si>
    <t xml:space="preserve">SO/2026/0049</t>
  </si>
  <si>
    <t xml:space="preserve">CON/OUT/00044</t>
  </si>
  <si>
    <t xml:space="preserve">INV/2026/00048</t>
  </si>
  <si>
    <t xml:space="preserve">SO/2026/0050</t>
  </si>
  <si>
    <t xml:space="preserve">CON/OUT/00045</t>
  </si>
  <si>
    <t xml:space="preserve">INV/2026/00049</t>
  </si>
  <si>
    <t xml:space="preserve">SO/2026/0051</t>
  </si>
  <si>
    <t xml:space="preserve">CON/OUT/00046</t>
  </si>
  <si>
    <t xml:space="preserve">INV/2026/00051</t>
  </si>
  <si>
    <t xml:space="preserve">SO/2026/0052</t>
  </si>
  <si>
    <t xml:space="preserve">2026-08</t>
  </si>
  <si>
    <t xml:space="preserve">CON/OUT/00047</t>
  </si>
  <si>
    <t xml:space="preserve">INV/2026/00052</t>
  </si>
  <si>
    <t xml:space="preserve">SO/2026/0053</t>
  </si>
  <si>
    <t xml:space="preserve">CON/OUT/00049, EQP/OUT/00023</t>
  </si>
  <si>
    <t xml:space="preserve">INV/2026/00056</t>
  </si>
  <si>
    <t xml:space="preserve">SO/2026/0054</t>
  </si>
  <si>
    <t xml:space="preserve">CON/OUT/00048</t>
  </si>
  <si>
    <t xml:space="preserve">INV/2026/00053</t>
  </si>
  <si>
    <t xml:space="preserve">SO/2026/0055</t>
  </si>
  <si>
    <t xml:space="preserve">CON/OUT/00050, EQP/OUT/00024</t>
  </si>
  <si>
    <t xml:space="preserve">INV/2026/00057</t>
  </si>
  <si>
    <t xml:space="preserve">SO/2026/0056</t>
  </si>
  <si>
    <t xml:space="preserve">EQP/OUT/00026</t>
  </si>
  <si>
    <t xml:space="preserve">INV/2026/00060</t>
  </si>
  <si>
    <t xml:space="preserve">SO/2026/0057</t>
  </si>
  <si>
    <t xml:space="preserve">CON/OUT/00051</t>
  </si>
  <si>
    <t xml:space="preserve">INV/2026/00054</t>
  </si>
  <si>
    <t xml:space="preserve">SO/2026/0058</t>
  </si>
  <si>
    <t xml:space="preserve">CON/OUT/00052</t>
  </si>
  <si>
    <t xml:space="preserve">INV/2026/00055</t>
  </si>
  <si>
    <t xml:space="preserve">SO/2026/0059</t>
  </si>
  <si>
    <t xml:space="preserve">CON/OUT/00053, EQP/OUT/00025</t>
  </si>
  <si>
    <t xml:space="preserve">INV/2026/00058</t>
  </si>
  <si>
    <t xml:space="preserve">SO/2026/0060</t>
  </si>
  <si>
    <t xml:space="preserve">CON/OUT/00054, EQP/OUT/00027, SPR/OUT/00015</t>
  </si>
  <si>
    <t xml:space="preserve">INV/2026/00061</t>
  </si>
  <si>
    <t xml:space="preserve">SO/2026/0061</t>
  </si>
  <si>
    <t xml:space="preserve">CON/OUT/00056, EQP/OUT/00028, SPR/OUT/00017</t>
  </si>
  <si>
    <t xml:space="preserve">INV/2026/00062</t>
  </si>
  <si>
    <t xml:space="preserve">SO/2026/0062</t>
  </si>
  <si>
    <t xml:space="preserve">CON/OUT/00055, SPR/OUT/00016</t>
  </si>
  <si>
    <t xml:space="preserve">INV/2026/00059</t>
  </si>
  <si>
    <t xml:space="preserve">SO/2026/0063</t>
  </si>
  <si>
    <t xml:space="preserve">CON/OUT/00057</t>
  </si>
  <si>
    <t xml:space="preserve">INV/2026/00063</t>
  </si>
  <si>
    <t xml:space="preserve">SO/2026/0064</t>
  </si>
  <si>
    <t xml:space="preserve">CON/OUT/00058</t>
  </si>
  <si>
    <t xml:space="preserve">INV/2026/00064</t>
  </si>
  <si>
    <t xml:space="preserve">SO/2026/0065</t>
  </si>
  <si>
    <t xml:space="preserve">CON/OUT/00059, EQP/OUT/00029</t>
  </si>
  <si>
    <t xml:space="preserve">INV/2026/00065</t>
  </si>
  <si>
    <t xml:space="preserve">SO/2026/0066</t>
  </si>
  <si>
    <t xml:space="preserve">CON/OUT/00060, EQP/OUT/00030, SPR/OUT/00018</t>
  </si>
  <si>
    <t xml:space="preserve">INV/2026/00066</t>
  </si>
  <si>
    <t xml:space="preserve">SO/2026/0067</t>
  </si>
  <si>
    <t xml:space="preserve">CON/OUT/00061, EQP/OUT/00031</t>
  </si>
  <si>
    <t xml:space="preserve">INV/2026/00067</t>
  </si>
  <si>
    <t xml:space="preserve">SO/2026/0068</t>
  </si>
  <si>
    <t xml:space="preserve">CON/OUT/00063, EQP/OUT/00032</t>
  </si>
  <si>
    <t xml:space="preserve">INV/2026/00069</t>
  </si>
  <si>
    <t xml:space="preserve">SO/2026/0069</t>
  </si>
  <si>
    <t xml:space="preserve">CON/OUT/00062, SPR/OUT/00019</t>
  </si>
  <si>
    <t xml:space="preserve">INV/2026/00068</t>
  </si>
  <si>
    <t xml:space="preserve">SO/2026/0070</t>
  </si>
  <si>
    <t xml:space="preserve">2026-09</t>
  </si>
  <si>
    <t xml:space="preserve">EQP/OUT/00033, SPR/OUT/00020</t>
  </si>
  <si>
    <t xml:space="preserve">INV/2026/00074</t>
  </si>
  <si>
    <t xml:space="preserve">SO/2026/0071</t>
  </si>
  <si>
    <t xml:space="preserve">CON/OUT/00064</t>
  </si>
  <si>
    <t xml:space="preserve">INV/2026/00070</t>
  </si>
  <si>
    <t xml:space="preserve">SO/2026/0072</t>
  </si>
  <si>
    <t xml:space="preserve">CON/OUT/00065</t>
  </si>
  <si>
    <t xml:space="preserve">INV/2026/00071</t>
  </si>
  <si>
    <t xml:space="preserve">SO/2026/0073</t>
  </si>
  <si>
    <t xml:space="preserve">CON/OUT/00066, EQP/OUT/00034</t>
  </si>
  <si>
    <t xml:space="preserve">INV/2026/00075</t>
  </si>
  <si>
    <t xml:space="preserve">SO/2026/0074</t>
  </si>
  <si>
    <t xml:space="preserve">CON/OUT/00067</t>
  </si>
  <si>
    <t xml:space="preserve">INV/2026/00072</t>
  </si>
  <si>
    <t xml:space="preserve">SO/2026/0075</t>
  </si>
  <si>
    <t xml:space="preserve">CON/OUT/00068</t>
  </si>
  <si>
    <t xml:space="preserve">INV/2026/00073</t>
  </si>
  <si>
    <t xml:space="preserve">SO/2026/0076</t>
  </si>
  <si>
    <t xml:space="preserve">Partially Delivered (backorder open)</t>
  </si>
  <si>
    <t xml:space="preserve">CON/OUT/00069, EQP/OUT/00035</t>
  </si>
  <si>
    <t xml:space="preserve">INV/2026/00077</t>
  </si>
  <si>
    <t xml:space="preserve">SO/2026/0077</t>
  </si>
  <si>
    <t xml:space="preserve">CON/OUT/00070, EQP/OUT/00036</t>
  </si>
  <si>
    <t xml:space="preserve">INV/2026/00078</t>
  </si>
  <si>
    <t xml:space="preserve">SO/2026/0078</t>
  </si>
  <si>
    <t xml:space="preserve">CON/OUT/00071, EQP/OUT/00037</t>
  </si>
  <si>
    <t xml:space="preserve">INV/2026/00076</t>
  </si>
  <si>
    <t xml:space="preserve">SO/2026/0079</t>
  </si>
  <si>
    <t xml:space="preserve">CON/OUT/00073, SPR/OUT/00022</t>
  </si>
  <si>
    <t xml:space="preserve">INV/2026/00080</t>
  </si>
  <si>
    <t xml:space="preserve">SO/2026/0080</t>
  </si>
  <si>
    <t xml:space="preserve">CON/OUT/00072, SPR/OUT/00021</t>
  </si>
  <si>
    <t xml:space="preserve">INV/2026/00079</t>
  </si>
  <si>
    <t xml:space="preserve">SO/2026/0081</t>
  </si>
  <si>
    <t xml:space="preserve">EQP/OUT/00038, SPR/OUT/00024</t>
  </si>
  <si>
    <t xml:space="preserve">(invoice dated after period end)</t>
  </si>
  <si>
    <t xml:space="preserve">SO/2026/0082</t>
  </si>
  <si>
    <t xml:space="preserve">CON/OUT/00074, SPR/OUT/00023</t>
  </si>
  <si>
    <t xml:space="preserve">INV/2026/00081</t>
  </si>
  <si>
    <t xml:space="preserve">SO/2026/0083</t>
  </si>
  <si>
    <t xml:space="preserve">Confirmed - delivery scheduled after period end</t>
  </si>
  <si>
    <t xml:space="preserve">SO/2026/0084</t>
  </si>
  <si>
    <t xml:space="preserve">CON/OUT/00075</t>
  </si>
  <si>
    <t xml:space="preserve">SO/2026/0085</t>
  </si>
  <si>
    <t xml:space="preserve">CON/OUT/00076, SPR/OUT/00025</t>
  </si>
  <si>
    <t xml:space="preserve">INV/2026/00082</t>
  </si>
  <si>
    <t xml:space="preserve">SO/2026/0086</t>
  </si>
  <si>
    <t xml:space="preserve">SO/2026/0087</t>
  </si>
  <si>
    <t xml:space="preserve">Line</t>
  </si>
  <si>
    <t xml:space="preserve">Product Ref</t>
  </si>
  <si>
    <t xml:space="preserve">Product</t>
  </si>
  <si>
    <t xml:space="preserve">Ordered Qty</t>
  </si>
  <si>
    <t xml:space="preserve">Delivered Qty</t>
  </si>
  <si>
    <t xml:space="preserve">Invoiced Qty</t>
  </si>
  <si>
    <t xml:space="preserve">UoM</t>
  </si>
  <si>
    <t xml:space="preserve">Unit Price (EGP, ex-VAT)</t>
  </si>
  <si>
    <t xml:space="preserve">Backorder Qty</t>
  </si>
  <si>
    <t xml:space="preserve">Delivered Net (EGP)</t>
  </si>
  <si>
    <t xml:space="preserve">Ordered Net (EGP)</t>
  </si>
  <si>
    <t xml:space="preserve">EQ-SUR-001</t>
  </si>
  <si>
    <t xml:space="preserve">Surgical Instrument Set (General Surgery, 120 pcs)</t>
  </si>
  <si>
    <t xml:space="preserve">Set</t>
  </si>
  <si>
    <t xml:space="preserve">CN-MSK-001</t>
  </si>
  <si>
    <t xml:space="preserve">Surgical Face Mask 3-Ply (Box of 50)</t>
  </si>
  <si>
    <t xml:space="preserve">Box</t>
  </si>
  <si>
    <t xml:space="preserve">EQ-INF-001</t>
  </si>
  <si>
    <t xml:space="preserve">Infusion Pump (Volumetric)</t>
  </si>
  <si>
    <t xml:space="preserve">Unit</t>
  </si>
  <si>
    <t xml:space="preserve">SP-BAT-001</t>
  </si>
  <si>
    <t xml:space="preserve">Patient Monitor Li-ion Battery Pack</t>
  </si>
  <si>
    <t xml:space="preserve">EQ-MON-001</t>
  </si>
  <si>
    <t xml:space="preserve">Patient Monitor (Multi-parameter, 12")</t>
  </si>
  <si>
    <t xml:space="preserve">CN-SYR-001</t>
  </si>
  <si>
    <t xml:space="preserve">Disposable Syringe 5 ml (Box of 100)</t>
  </si>
  <si>
    <t xml:space="preserve">EQ-ECG-001</t>
  </si>
  <si>
    <t xml:space="preserve">ECG Machine (12-Channel)</t>
  </si>
  <si>
    <t xml:space="preserve">SP-GSK-001</t>
  </si>
  <si>
    <t xml:space="preserve">Autoclave Door Gasket</t>
  </si>
  <si>
    <t xml:space="preserve">CN-GLV-001</t>
  </si>
  <si>
    <t xml:space="preserve">Nitrile Examination Gloves, Medium (Box of 100)</t>
  </si>
  <si>
    <t xml:space="preserve">SP-SPO-001</t>
  </si>
  <si>
    <t xml:space="preserve">SpO2 Sensor, Adult Reusable</t>
  </si>
  <si>
    <t xml:space="preserve">CN-ECE-001</t>
  </si>
  <si>
    <t xml:space="preserve">ECG Electrodes (Pack of 50)</t>
  </si>
  <si>
    <t xml:space="preserve">Pack</t>
  </si>
  <si>
    <t xml:space="preserve">CN-PAD-001</t>
  </si>
  <si>
    <t xml:space="preserve">Defibrillator Pads, Adult (Pair)</t>
  </si>
  <si>
    <t xml:space="preserve">Pair</t>
  </si>
  <si>
    <t xml:space="preserve">CN-IVS-001</t>
  </si>
  <si>
    <t xml:space="preserve">IV Infusion Set (Box of 25)</t>
  </si>
  <si>
    <t xml:space="preserve">CN-GAU-001</t>
  </si>
  <si>
    <t xml:space="preserve">Gauze Swabs &amp; Dressings Pack</t>
  </si>
  <si>
    <t xml:space="preserve">SP-FIL-001</t>
  </si>
  <si>
    <t xml:space="preserve">Replacement HEPA Air Filter (Box of 5)</t>
  </si>
  <si>
    <t xml:space="preserve">EQ-OXY-001</t>
  </si>
  <si>
    <t xml:space="preserve">Oxygen Concentrator (5 L/min)</t>
  </si>
  <si>
    <t xml:space="preserve">CN-KIT-001</t>
  </si>
  <si>
    <t xml:space="preserve">Sterile Surgical Kit (Carton of 10)</t>
  </si>
  <si>
    <t xml:space="preserve">Carton</t>
  </si>
  <si>
    <t xml:space="preserve">CN-CAN-001</t>
  </si>
  <si>
    <t xml:space="preserve">IV Cannula 20G (Box of 50)</t>
  </si>
  <si>
    <t xml:space="preserve">EQ-DEF-001</t>
  </si>
  <si>
    <t xml:space="preserve">Defibrillator (Biphasic)</t>
  </si>
  <si>
    <t xml:space="preserve">CN-TUB-001</t>
  </si>
  <si>
    <t xml:space="preserve">Medical Silicone Tubing 8 mm (Roll of 25 m)</t>
  </si>
  <si>
    <t xml:space="preserve">Roll</t>
  </si>
  <si>
    <t xml:space="preserve">EQ-BED-001</t>
  </si>
  <si>
    <t xml:space="preserve">Hospital Bed (Electric, 3-Function)</t>
  </si>
  <si>
    <t xml:space="preserve">EQ-MRI-001</t>
  </si>
  <si>
    <t xml:space="preserve">MRI Machine 1.5T</t>
  </si>
  <si>
    <t xml:space="preserve">EQ-AUT-001</t>
  </si>
  <si>
    <t xml:space="preserve">Autoclave (50 L, Steam)</t>
  </si>
  <si>
    <t xml:space="preserve">EQ-USG-001</t>
  </si>
  <si>
    <t xml:space="preserve">Ultrasound System (Colour Doppler)</t>
  </si>
  <si>
    <t xml:space="preserve">CRM pipeline (simulated): leads and opportunities, 1 May - 30 Sep 2026</t>
  </si>
  <si>
    <t xml:space="preserve">Won opportunities link to the simulated sales orders; open opportunities have expected close dates after the period end. Retail counter sales (CUS-013) do not use the pipeline.</t>
  </si>
  <si>
    <t xml:space="preserve">Opportunity ID</t>
  </si>
  <si>
    <t xml:space="preserve">Opportunity</t>
  </si>
  <si>
    <t xml:space="preserve">Sales Team (branch)</t>
  </si>
  <si>
    <t xml:space="preserve">Salesperson</t>
  </si>
  <si>
    <t xml:space="preserve">Lead Source</t>
  </si>
  <si>
    <t xml:space="preserve">Stage</t>
  </si>
  <si>
    <t xml:space="preserve">Probability %</t>
  </si>
  <si>
    <t xml:space="preserve">Expected Revenue (EGP, ex-VAT)</t>
  </si>
  <si>
    <t xml:space="preserve">Weighted Revenue (EGP)</t>
  </si>
  <si>
    <t xml:space="preserve">Created</t>
  </si>
  <si>
    <t xml:space="preserve">Closed / Expected Close</t>
  </si>
  <si>
    <t xml:space="preserve">Lost Reason</t>
  </si>
  <si>
    <t xml:space="preserve">Linked SO</t>
  </si>
  <si>
    <t xml:space="preserve">Linked SO Ordered Net (EGP)</t>
  </si>
  <si>
    <t xml:space="preserve">Variance to SO (EGP)</t>
  </si>
  <si>
    <t xml:space="preserve">OPP-0001</t>
  </si>
  <si>
    <t xml:space="preserve">Al Salam Teaching Hospital - Surgical Instrument Set (General Surgery, 120 pcs)</t>
  </si>
  <si>
    <t xml:space="preserve">Nasr City Sales Team</t>
  </si>
  <si>
    <t xml:space="preserve">sales.nsc (placeholder)</t>
  </si>
  <si>
    <t xml:space="preserve">Existing customer</t>
  </si>
  <si>
    <t xml:space="preserve">Won</t>
  </si>
  <si>
    <t xml:space="preserve">OPP-0002</t>
  </si>
  <si>
    <t xml:space="preserve">Nile Valley Medical Center - Autoclave Door Gasket</t>
  </si>
  <si>
    <t xml:space="preserve">Mohandeseen Sales Team</t>
  </si>
  <si>
    <t xml:space="preserve">sales.moh (placeholder)</t>
  </si>
  <si>
    <t xml:space="preserve">Hospital tender</t>
  </si>
  <si>
    <t xml:space="preserve">OPP-0003</t>
  </si>
  <si>
    <t xml:space="preserve">Nile Valley Medical Center - Infusion Pump (Volumetric)</t>
  </si>
  <si>
    <t xml:space="preserve">Website inquiry</t>
  </si>
  <si>
    <t xml:space="preserve">OPP-0004</t>
  </si>
  <si>
    <t xml:space="preserve">Delta Care Hospital - Infusion Pump (Volumetric)</t>
  </si>
  <si>
    <t xml:space="preserve">OPP-0005</t>
  </si>
  <si>
    <t xml:space="preserve">Alexandria Coastal Hospital - Infusion Pump (Volumetric)</t>
  </si>
  <si>
    <t xml:space="preserve">Referral</t>
  </si>
  <si>
    <t xml:space="preserve">OPP-0006</t>
  </si>
  <si>
    <t xml:space="preserve">Nasr City Family Clinics - Disposable Syringe 5 ml (Box of 100)</t>
  </si>
  <si>
    <t xml:space="preserve">OPP-0007</t>
  </si>
  <si>
    <t xml:space="preserve">OPP-0008</t>
  </si>
  <si>
    <t xml:space="preserve">Heliopolis Diagnostic Laboratories - Nitrile Examination Gloves, Medium (Box of 100)</t>
  </si>
  <si>
    <t xml:space="preserve">OPP-0009</t>
  </si>
  <si>
    <t xml:space="preserve">Upper Egypt Medical Complex - ECG Electrodes (Pack of 50)</t>
  </si>
  <si>
    <t xml:space="preserve">Email inquiry</t>
  </si>
  <si>
    <t xml:space="preserve">OPP-0010</t>
  </si>
  <si>
    <t xml:space="preserve">Maadi Pediatric Hospital - ECG Electrodes (Pack of 50)</t>
  </si>
  <si>
    <t xml:space="preserve">Maadi Sales Team</t>
  </si>
  <si>
    <t xml:space="preserve">retail.maadi (placeholder)</t>
  </si>
  <si>
    <t xml:space="preserve">OPP-0011</t>
  </si>
  <si>
    <t xml:space="preserve">Maadi Pediatric Hospital - Patient Monitor (Multi-parameter, 12")</t>
  </si>
  <si>
    <t xml:space="preserve">Exhibition / conference</t>
  </si>
  <si>
    <t xml:space="preserve">OPP-0012</t>
  </si>
  <si>
    <t xml:space="preserve">Red Sea Emergency Hospital - Nitrile Examination Gloves, Medium (Box of 100)</t>
  </si>
  <si>
    <t xml:space="preserve">OPP-0013</t>
  </si>
  <si>
    <t xml:space="preserve">Zagazig Dialysis Center - Surgical Face Mask 3-Ply (Box of 50)</t>
  </si>
  <si>
    <t xml:space="preserve">OPP-0014</t>
  </si>
  <si>
    <t xml:space="preserve">Zagazig Dialysis Center - IV Cannula 20G (Box of 50)</t>
  </si>
  <si>
    <t xml:space="preserve">OPP-0015</t>
  </si>
  <si>
    <t xml:space="preserve">New Cairo Women's Health Clinic - Gauze Swabs &amp; Dressings Pack</t>
  </si>
  <si>
    <t xml:space="preserve">OPP-0016</t>
  </si>
  <si>
    <t xml:space="preserve">Upper Egypt Medical Complex - Patient Monitor Li-ion Battery Pack</t>
  </si>
  <si>
    <t xml:space="preserve">Lost</t>
  </si>
  <si>
    <t xml:space="preserve">Competitor selected</t>
  </si>
  <si>
    <t xml:space="preserve">OPP-0017</t>
  </si>
  <si>
    <t xml:space="preserve">Giza Advanced Imaging Center - ECG Electrodes (Pack of 50)</t>
  </si>
  <si>
    <t xml:space="preserve">OPP-0018</t>
  </si>
  <si>
    <t xml:space="preserve">Zagazig Dialysis Center - Oxygen Concentrator (5 L/min)</t>
  </si>
  <si>
    <t xml:space="preserve">Delivery time too long</t>
  </si>
  <si>
    <t xml:space="preserve">OPP-0019</t>
  </si>
  <si>
    <t xml:space="preserve">New Cairo Women's Health Clinic - ECG Machine (12-Channel)</t>
  </si>
  <si>
    <t xml:space="preserve">Price too high</t>
  </si>
  <si>
    <t xml:space="preserve">OPP-0020</t>
  </si>
  <si>
    <t xml:space="preserve">Giza Advanced Imaging Center - Nitrile Examination Gloves, Medium (Box of 100)</t>
  </si>
  <si>
    <t xml:space="preserve">Tender cancelled</t>
  </si>
  <si>
    <t xml:space="preserve">OPP-0021</t>
  </si>
  <si>
    <t xml:space="preserve">Red Sea Emergency Hospital - Surgical Instrument Set (General Surgery, 120 pcs)</t>
  </si>
  <si>
    <t xml:space="preserve">OPP-0022</t>
  </si>
  <si>
    <t xml:space="preserve">OPP-0023</t>
  </si>
  <si>
    <t xml:space="preserve">New Cairo Women's Health Clinic - Disposable Syringe 5 ml (Box of 100)</t>
  </si>
  <si>
    <t xml:space="preserve">OPP-0024</t>
  </si>
  <si>
    <t xml:space="preserve">Red Sea Emergency Hospital - Surgical Face Mask 3-Ply (Box of 50)</t>
  </si>
  <si>
    <t xml:space="preserve">OPP-0025</t>
  </si>
  <si>
    <t xml:space="preserve">OPP-0026</t>
  </si>
  <si>
    <t xml:space="preserve">Giza Advanced Imaging Center - Surgical Face Mask 3-Ply (Box of 50)</t>
  </si>
  <si>
    <t xml:space="preserve">OPP-0027</t>
  </si>
  <si>
    <t xml:space="preserve">Upper Egypt Medical Complex - Disposable Syringe 5 ml (Box of 100)</t>
  </si>
  <si>
    <t xml:space="preserve">OPP-0028</t>
  </si>
  <si>
    <t xml:space="preserve">Alexandria Coastal Hospital - Gauze Swabs &amp; Dressings Pack</t>
  </si>
  <si>
    <t xml:space="preserve">OPP-0029</t>
  </si>
  <si>
    <t xml:space="preserve">Red Sea Emergency Hospital - SpO2 Sensor, Adult Reusable</t>
  </si>
  <si>
    <t xml:space="preserve">OPP-0030</t>
  </si>
  <si>
    <t xml:space="preserve">Al Salam Teaching Hospital - ECG Machine (12-Channel)</t>
  </si>
  <si>
    <t xml:space="preserve">OPP-0031</t>
  </si>
  <si>
    <t xml:space="preserve">OPP-0032</t>
  </si>
  <si>
    <t xml:space="preserve">Alexandria Coastal Hospital - Ultrasound System (Colour Doppler)</t>
  </si>
  <si>
    <t xml:space="preserve">OPP-0033</t>
  </si>
  <si>
    <t xml:space="preserve">Upper Egypt Medical Complex - Oxygen Concentrator (5 L/min)</t>
  </si>
  <si>
    <t xml:space="preserve">OPP-0034</t>
  </si>
  <si>
    <t xml:space="preserve">Al Salam Teaching Hospital - Disposable Syringe 5 ml (Box of 100)</t>
  </si>
  <si>
    <t xml:space="preserve">OPP-0035</t>
  </si>
  <si>
    <t xml:space="preserve">OPP-0036</t>
  </si>
  <si>
    <t xml:space="preserve">Delta Care Hospital - Oxygen Concentrator (5 L/min)</t>
  </si>
  <si>
    <t xml:space="preserve">OPP-0037</t>
  </si>
  <si>
    <t xml:space="preserve">Nasr City Family Clinics - Infusion Pump (Volumetric)</t>
  </si>
  <si>
    <t xml:space="preserve">OPP-0038</t>
  </si>
  <si>
    <t xml:space="preserve">Giza Advanced Imaging Center - Hospital Bed (Electric, 3-Function)</t>
  </si>
  <si>
    <t xml:space="preserve">OPP-0039</t>
  </si>
  <si>
    <t xml:space="preserve">Zagazig Dialysis Center - IV Infusion Set (Box of 25)</t>
  </si>
  <si>
    <t xml:space="preserve">OPP-0040</t>
  </si>
  <si>
    <t xml:space="preserve">Heliopolis Diagnostic Laboratories - Medical Silicone Tubing 8 mm (Roll of 25 m)</t>
  </si>
  <si>
    <t xml:space="preserve">OPP-0041</t>
  </si>
  <si>
    <t xml:space="preserve">Zagazig Dialysis Center - Infusion Pump (Volumetric)</t>
  </si>
  <si>
    <t xml:space="preserve">OPP-0042</t>
  </si>
  <si>
    <t xml:space="preserve">OPP-0043</t>
  </si>
  <si>
    <t xml:space="preserve">Al Salam Teaching Hospital - Defibrillator (Biphasic)</t>
  </si>
  <si>
    <t xml:space="preserve">OPP-0044</t>
  </si>
  <si>
    <t xml:space="preserve">Delta Care Hospital - ECG Machine (12-Channel)</t>
  </si>
  <si>
    <t xml:space="preserve">OPP-0045</t>
  </si>
  <si>
    <t xml:space="preserve">Nasr City Family Clinics - Nitrile Examination Gloves, Medium (Box of 100)</t>
  </si>
  <si>
    <t xml:space="preserve">OPP-0046</t>
  </si>
  <si>
    <t xml:space="preserve">Giza Advanced Imaging Center - MRI Machine 1.5T</t>
  </si>
  <si>
    <t xml:space="preserve">OPP-0047</t>
  </si>
  <si>
    <t xml:space="preserve">Delta Care Hospital - Hospital Bed (Electric, 3-Function)</t>
  </si>
  <si>
    <t xml:space="preserve">OPP-0048</t>
  </si>
  <si>
    <t xml:space="preserve">Nile Valley Medical Center - Nitrile Examination Gloves, Medium (Box of 100)</t>
  </si>
  <si>
    <t xml:space="preserve">OPP-0049</t>
  </si>
  <si>
    <t xml:space="preserve">Maadi Pediatric Hospital - Hospital Bed (Electric, 3-Function)</t>
  </si>
  <si>
    <t xml:space="preserve">OPP-0050</t>
  </si>
  <si>
    <t xml:space="preserve">Zagazig Dialysis Center - Nitrile Examination Gloves, Medium (Box of 100)</t>
  </si>
  <si>
    <t xml:space="preserve">OPP-0051</t>
  </si>
  <si>
    <t xml:space="preserve">Red Sea Emergency Hospital - ECG Electrodes (Pack of 50)</t>
  </si>
  <si>
    <t xml:space="preserve">OPP-0052</t>
  </si>
  <si>
    <t xml:space="preserve">OPP-0053</t>
  </si>
  <si>
    <t xml:space="preserve">OPP-0054</t>
  </si>
  <si>
    <t xml:space="preserve">Maadi Pediatric Hospital - Nitrile Examination Gloves, Medium (Box of 100)</t>
  </si>
  <si>
    <t xml:space="preserve">OPP-0055</t>
  </si>
  <si>
    <t xml:space="preserve">Upper Egypt Medical Complex - Gauze Swabs &amp; Dressings Pack</t>
  </si>
  <si>
    <t xml:space="preserve">OPP-0056</t>
  </si>
  <si>
    <t xml:space="preserve">Upper Egypt Medical Complex - Defibrillator Pads, Adult (Pair)</t>
  </si>
  <si>
    <t xml:space="preserve">OPP-0057</t>
  </si>
  <si>
    <t xml:space="preserve">OPP-0058</t>
  </si>
  <si>
    <t xml:space="preserve">OPP-0059</t>
  </si>
  <si>
    <t xml:space="preserve">New Cairo Women's Health Clinic - Infusion Pump (Volumetric)</t>
  </si>
  <si>
    <t xml:space="preserve">OPP-0060</t>
  </si>
  <si>
    <t xml:space="preserve">OPP-0061</t>
  </si>
  <si>
    <t xml:space="preserve">Nasr City Family Clinics - ECG Electrodes (Pack of 50)</t>
  </si>
  <si>
    <t xml:space="preserve">OPP-0062</t>
  </si>
  <si>
    <t xml:space="preserve">New Cairo Women's Health Clinic - Defibrillator Pads, Adult (Pair)</t>
  </si>
  <si>
    <t xml:space="preserve">New</t>
  </si>
  <si>
    <t xml:space="preserve">OPP-0063</t>
  </si>
  <si>
    <t xml:space="preserve">Maadi Pediatric Hospital - Disposable Syringe 5 ml (Box of 100)</t>
  </si>
  <si>
    <t xml:space="preserve">OPP-0064</t>
  </si>
  <si>
    <t xml:space="preserve">OPP-0065</t>
  </si>
  <si>
    <t xml:space="preserve">Nile Valley Medical Center - MRI Machine 1.5T</t>
  </si>
  <si>
    <t xml:space="preserve">Negotiation</t>
  </si>
  <si>
    <t xml:space="preserve">OPP-0066</t>
  </si>
  <si>
    <t xml:space="preserve">Al Salam Teaching Hospital - Oxygen Concentrator (5 L/min)</t>
  </si>
  <si>
    <t xml:space="preserve">OPP-0067</t>
  </si>
  <si>
    <t xml:space="preserve">Heliopolis Diagnostic Laboratories - Patient Monitor (Multi-parameter, 12")</t>
  </si>
  <si>
    <t xml:space="preserve">OPP-0068</t>
  </si>
  <si>
    <t xml:space="preserve">Nile Valley Medical Center - Patient Monitor (Multi-parameter, 12")</t>
  </si>
  <si>
    <t xml:space="preserve">OPP-0069</t>
  </si>
  <si>
    <t xml:space="preserve">Budget not approved</t>
  </si>
  <si>
    <t xml:space="preserve">OPP-0070</t>
  </si>
  <si>
    <t xml:space="preserve">OPP-0071</t>
  </si>
  <si>
    <t xml:space="preserve">OPP-0072</t>
  </si>
  <si>
    <t xml:space="preserve">Red Sea Emergency Hospital - Patient Monitor (Multi-parameter, 12")</t>
  </si>
  <si>
    <t xml:space="preserve">OPP-0073</t>
  </si>
  <si>
    <t xml:space="preserve">Upper Egypt Medical Complex - ECG Machine (12-Channel)</t>
  </si>
  <si>
    <t xml:space="preserve">OPP-0074</t>
  </si>
  <si>
    <t xml:space="preserve">Zagazig Dialysis Center - Medical Silicone Tubing 8 mm (Roll of 25 m)</t>
  </si>
  <si>
    <t xml:space="preserve">OPP-0075</t>
  </si>
  <si>
    <t xml:space="preserve">Nile Valley Medical Center - Disposable Syringe 5 ml (Box of 100)</t>
  </si>
  <si>
    <t xml:space="preserve">OPP-0076</t>
  </si>
  <si>
    <t xml:space="preserve">OPP-0077</t>
  </si>
  <si>
    <t xml:space="preserve">Alexandria Coastal Hospital - IV Infusion Set (Box of 25)</t>
  </si>
  <si>
    <t xml:space="preserve">Quotation Sent</t>
  </si>
  <si>
    <t xml:space="preserve">OPP-0078</t>
  </si>
  <si>
    <t xml:space="preserve">Heliopolis Diagnostic Laboratories - Disposable Syringe 5 ml (Box of 100)</t>
  </si>
  <si>
    <t xml:space="preserve">OPP-0079</t>
  </si>
  <si>
    <t xml:space="preserve">Nasr City Family Clinics - Autoclave Door Gasket</t>
  </si>
  <si>
    <t xml:space="preserve">Qualified</t>
  </si>
  <si>
    <t xml:space="preserve">OPP-0080</t>
  </si>
  <si>
    <t xml:space="preserve">New Cairo Women's Health Clinic - Autoclave Door Gasket</t>
  </si>
  <si>
    <t xml:space="preserve">OPP-0081</t>
  </si>
  <si>
    <t xml:space="preserve">Heliopolis Diagnostic Laboratories - IV Cannula 20G (Box of 50)</t>
  </si>
  <si>
    <t xml:space="preserve">OPP-0082</t>
  </si>
  <si>
    <t xml:space="preserve">Nasr City Family Clinics - Gauze Swabs &amp; Dressings Pack</t>
  </si>
  <si>
    <t xml:space="preserve">OPP-0083</t>
  </si>
  <si>
    <t xml:space="preserve">Al Salam Teaching Hospital - IV Cannula 20G (Box of 50)</t>
  </si>
  <si>
    <t xml:space="preserve">OPP-0084</t>
  </si>
  <si>
    <t xml:space="preserve">Alexandria Coastal Hospital - Hospital Bed (Electric, 3-Function)</t>
  </si>
  <si>
    <t xml:space="preserve">OPP-0085</t>
  </si>
  <si>
    <t xml:space="preserve">Nasr City Family Clinics - Defibrillator Pads, Adult (Pair)</t>
  </si>
  <si>
    <t xml:space="preserve">OPP-0086</t>
  </si>
  <si>
    <t xml:space="preserve">Maadi Pediatric Hospital - Ultrasound System (Colour Doppler)</t>
  </si>
  <si>
    <t xml:space="preserve">Opportunities</t>
  </si>
  <si>
    <t xml:space="preserve">Expected Revenue (EGP)</t>
  </si>
  <si>
    <t xml:space="preserve">Total</t>
  </si>
  <si>
    <t xml:space="preserve">A. Customer invoices (journal INV)</t>
  </si>
  <si>
    <t xml:space="preserve">Payments applied come from table B below; credit notes from the 'Customer and Supplier Returns' sheet.</t>
  </si>
  <si>
    <t xml:space="preserve">Invoice No</t>
  </si>
  <si>
    <t xml:space="preserve">Invoice Date</t>
  </si>
  <si>
    <t xml:space="preserve">Sales Order</t>
  </si>
  <si>
    <t xml:space="preserve">Net (EGP)</t>
  </si>
  <si>
    <t xml:space="preserve">VAT (EGP)</t>
  </si>
  <si>
    <t xml:space="preserve">Total (EGP)</t>
  </si>
  <si>
    <t xml:space="preserve">Due Date</t>
  </si>
  <si>
    <t xml:space="preserve">Credit Notes (EGP)</t>
  </si>
  <si>
    <t xml:space="preserve">Payments Applied (EGP)</t>
  </si>
  <si>
    <t xml:space="preserve">Payment Status</t>
  </si>
  <si>
    <t xml:space="preserve">Days Overdue</t>
  </si>
  <si>
    <t xml:space="preserve">Totals</t>
  </si>
  <si>
    <t xml:space="preserve">B. Customer receipts (journals CIB1 / NBE1 / CSH1-3)</t>
  </si>
  <si>
    <t xml:space="preserve">One row per receipt; partial payments appear as separate rows.</t>
  </si>
  <si>
    <t xml:space="preserve">Payment No</t>
  </si>
  <si>
    <t xml:space="preserve">Payment Date</t>
  </si>
  <si>
    <t xml:space="preserve">Customer ID (placeholder)</t>
  </si>
  <si>
    <t xml:space="preserve">Applied to Invoice</t>
  </si>
  <si>
    <t xml:space="preserve">Amount (EGP)</t>
  </si>
  <si>
    <t xml:space="preserve">Method</t>
  </si>
  <si>
    <t xml:space="preserve">Journal</t>
  </si>
  <si>
    <t xml:space="preserve">CSH2/IN/2026/0001</t>
  </si>
  <si>
    <t xml:space="preserve">Cash</t>
  </si>
  <si>
    <t xml:space="preserve">CSH2</t>
  </si>
  <si>
    <t xml:space="preserve">CSH2/IN/2026/0002</t>
  </si>
  <si>
    <t xml:space="preserve">CSH2/IN/2026/0003</t>
  </si>
  <si>
    <t xml:space="preserve">CSH2/IN/2026/0004</t>
  </si>
  <si>
    <t xml:space="preserve">CSH2/IN/2026/0005</t>
  </si>
  <si>
    <t xml:space="preserve">NBE1/IN/2026/0001</t>
  </si>
  <si>
    <t xml:space="preserve">Cheque</t>
  </si>
  <si>
    <t xml:space="preserve">NBE1</t>
  </si>
  <si>
    <t xml:space="preserve">CSH2/IN/2026/0006</t>
  </si>
  <si>
    <t xml:space="preserve">CSH2/IN/2026/0007</t>
  </si>
  <si>
    <t xml:space="preserve">NBE1/IN/2026/0002</t>
  </si>
  <si>
    <t xml:space="preserve">NBE1/IN/2026/0003</t>
  </si>
  <si>
    <t xml:space="preserve">CIB1/IN/2026/0001</t>
  </si>
  <si>
    <t xml:space="preserve">Bank transfer</t>
  </si>
  <si>
    <t xml:space="preserve">CIB1</t>
  </si>
  <si>
    <t xml:space="preserve">CSH2/IN/2026/0008</t>
  </si>
  <si>
    <t xml:space="preserve">NBE1/IN/2026/0004</t>
  </si>
  <si>
    <t xml:space="preserve">CIB1/IN/2026/0002</t>
  </si>
  <si>
    <t xml:space="preserve">CIB1/IN/2026/0003</t>
  </si>
  <si>
    <t xml:space="preserve">CIB1/IN/2026/0004</t>
  </si>
  <si>
    <t xml:space="preserve">CSH2/IN/2026/0009</t>
  </si>
  <si>
    <t xml:space="preserve">CSH2/IN/2026/0010</t>
  </si>
  <si>
    <t xml:space="preserve">CSH2/IN/2026/0011</t>
  </si>
  <si>
    <t xml:space="preserve">NBE1/IN/2026/0005</t>
  </si>
  <si>
    <t xml:space="preserve">CIB1/IN/2026/0005</t>
  </si>
  <si>
    <t xml:space="preserve">NBE1/IN/2026/0006</t>
  </si>
  <si>
    <t xml:space="preserve">CIB1/IN/2026/0006</t>
  </si>
  <si>
    <t xml:space="preserve">CSH2/IN/2026/0012</t>
  </si>
  <si>
    <t xml:space="preserve">CIB1/IN/2026/0007</t>
  </si>
  <si>
    <t xml:space="preserve">CIB1/IN/2026/0008</t>
  </si>
  <si>
    <t xml:space="preserve">CSH2/IN/2026/0013</t>
  </si>
  <si>
    <t xml:space="preserve">CSH2/IN/2026/0014</t>
  </si>
  <si>
    <t xml:space="preserve">CIB1/IN/2026/0009</t>
  </si>
  <si>
    <t xml:space="preserve">CIB1/IN/2026/0010</t>
  </si>
  <si>
    <t xml:space="preserve">CSH2/IN/2026/0015</t>
  </si>
  <si>
    <t xml:space="preserve">NBE1/IN/2026/0007</t>
  </si>
  <si>
    <t xml:space="preserve">CSH2/IN/2026/0016</t>
  </si>
  <si>
    <t xml:space="preserve">CSH2/IN/2026/0017</t>
  </si>
  <si>
    <t xml:space="preserve">CIB1/IN/2026/0011</t>
  </si>
  <si>
    <t xml:space="preserve">NBE1/IN/2026/0008</t>
  </si>
  <si>
    <t xml:space="preserve">CSH2/IN/2026/0018</t>
  </si>
  <si>
    <t xml:space="preserve">NBE1/IN/2026/0009</t>
  </si>
  <si>
    <t xml:space="preserve">NBE1/IN/2026/0010</t>
  </si>
  <si>
    <t xml:space="preserve">NBE1/IN/2026/0011</t>
  </si>
  <si>
    <t xml:space="preserve">NBE1/IN/2026/0012</t>
  </si>
  <si>
    <t xml:space="preserve">CSH2/IN/2026/0019</t>
  </si>
  <si>
    <t xml:space="preserve">NBE1/IN/2026/0013</t>
  </si>
  <si>
    <t xml:space="preserve">NBE1/IN/2026/0014</t>
  </si>
  <si>
    <t xml:space="preserve">CIB1/IN/2026/0012</t>
  </si>
  <si>
    <t xml:space="preserve">NBE1/IN/2026/0015</t>
  </si>
  <si>
    <t xml:space="preserve">NBE1/IN/2026/0016</t>
  </si>
  <si>
    <t xml:space="preserve">NBE1/IN/2026/0017</t>
  </si>
  <si>
    <t xml:space="preserve">CSH2/IN/2026/0020</t>
  </si>
  <si>
    <t xml:space="preserve">CSH2/IN/2026/0021</t>
  </si>
  <si>
    <t xml:space="preserve">NBE1/IN/2026/0018</t>
  </si>
  <si>
    <t xml:space="preserve">NBE1/IN/2026/0019</t>
  </si>
  <si>
    <t xml:space="preserve">NBE1/IN/2026/0020</t>
  </si>
  <si>
    <t xml:space="preserve">CSH2/IN/2026/0022</t>
  </si>
  <si>
    <t xml:space="preserve">NBE1/IN/2026/0021</t>
  </si>
  <si>
    <t xml:space="preserve">CSH2/IN/2026/0023</t>
  </si>
  <si>
    <t xml:space="preserve">NBE1/IN/2026/0022</t>
  </si>
  <si>
    <t xml:space="preserve">CIB1/IN/2026/0013</t>
  </si>
  <si>
    <t xml:space="preserve">CIB1/IN/2026/0014</t>
  </si>
  <si>
    <t xml:space="preserve">NBE1/IN/2026/0023</t>
  </si>
  <si>
    <t xml:space="preserve">CSH2/IN/2026/0024</t>
  </si>
  <si>
    <t xml:space="preserve">NBE1/IN/2026/0024</t>
  </si>
  <si>
    <t xml:space="preserve">Total receipts</t>
  </si>
  <si>
    <t xml:space="preserve">PO No</t>
  </si>
  <si>
    <t xml:space="preserve">Vendor</t>
  </si>
  <si>
    <t xml:space="preserve">Receiving Warehouse</t>
  </si>
  <si>
    <t xml:space="preserve">Expected Date</t>
  </si>
  <si>
    <t xml:space="preserve">Receipts</t>
  </si>
  <si>
    <t xml:space="preserve">Vendor Bills</t>
  </si>
  <si>
    <t xml:space="preserve">Origin</t>
  </si>
  <si>
    <t xml:space="preserve">PO/2026/0001</t>
  </si>
  <si>
    <t xml:space="preserve">EQP</t>
  </si>
  <si>
    <t xml:space="preserve">Fully Received</t>
  </si>
  <si>
    <t xml:space="preserve">EQP/IN/00001</t>
  </si>
  <si>
    <t xml:space="preserve">BILL/2026/00002</t>
  </si>
  <si>
    <t xml:space="preserve">Reordering rule (replenishment)</t>
  </si>
  <si>
    <t xml:space="preserve">PO/2026/0002</t>
  </si>
  <si>
    <t xml:space="preserve">EQP/IN/00002</t>
  </si>
  <si>
    <t xml:space="preserve">BILL/2026/00004</t>
  </si>
  <si>
    <t xml:space="preserve">PO/2026/0003</t>
  </si>
  <si>
    <t xml:space="preserve">EQP/IN/00003</t>
  </si>
  <si>
    <t xml:space="preserve">BILL/2026/00006</t>
  </si>
  <si>
    <t xml:space="preserve">PO/2026/0004</t>
  </si>
  <si>
    <t xml:space="preserve">CON</t>
  </si>
  <si>
    <t xml:space="preserve">CON/IN/00001</t>
  </si>
  <si>
    <t xml:space="preserve">BILL/2026/00001</t>
  </si>
  <si>
    <t xml:space="preserve">PO/2026/0005</t>
  </si>
  <si>
    <t xml:space="preserve">CON/IN/00002</t>
  </si>
  <si>
    <t xml:space="preserve">BILL/2026/00003</t>
  </si>
  <si>
    <t xml:space="preserve">PO/2026/0006</t>
  </si>
  <si>
    <t xml:space="preserve">CON/IN/00003</t>
  </si>
  <si>
    <t xml:space="preserve">BILL/2026/00005</t>
  </si>
  <si>
    <t xml:space="preserve">PO/2026/0007</t>
  </si>
  <si>
    <t xml:space="preserve">EQP/IN/00005</t>
  </si>
  <si>
    <t xml:space="preserve">BILL/2026/00009</t>
  </si>
  <si>
    <t xml:space="preserve">Manual (made-to-order capital item)</t>
  </si>
  <si>
    <t xml:space="preserve">PO/2026/0008</t>
  </si>
  <si>
    <t xml:space="preserve">EQP/IN/00004</t>
  </si>
  <si>
    <t xml:space="preserve">BILL/2026/00008</t>
  </si>
  <si>
    <t xml:space="preserve">PO/2026/0009</t>
  </si>
  <si>
    <t xml:space="preserve">CON/IN/00004</t>
  </si>
  <si>
    <t xml:space="preserve">BILL/2026/00007</t>
  </si>
  <si>
    <t xml:space="preserve">PO/2026/0010</t>
  </si>
  <si>
    <t xml:space="preserve">EQP/IN/00006, EQP/IN/00007</t>
  </si>
  <si>
    <t xml:space="preserve">BILL/2026/00011, BILL/2026/00013</t>
  </si>
  <si>
    <t xml:space="preserve">PO/2026/0011</t>
  </si>
  <si>
    <t xml:space="preserve">CON/IN/00005</t>
  </si>
  <si>
    <t xml:space="preserve">BILL/2026/00010</t>
  </si>
  <si>
    <t xml:space="preserve">PO/2026/0012</t>
  </si>
  <si>
    <t xml:space="preserve">EQP/IN/00008</t>
  </si>
  <si>
    <t xml:space="preserve">BILL/2026/00014</t>
  </si>
  <si>
    <t xml:space="preserve">PO/2026/0013</t>
  </si>
  <si>
    <t xml:space="preserve">CON/IN/00006</t>
  </si>
  <si>
    <t xml:space="preserve">BILL/2026/00012</t>
  </si>
  <si>
    <t xml:space="preserve">PO/2026/0014</t>
  </si>
  <si>
    <t xml:space="preserve">EQP/IN/00009</t>
  </si>
  <si>
    <t xml:space="preserve">BILL/2026/00017</t>
  </si>
  <si>
    <t xml:space="preserve">PO/2026/0015</t>
  </si>
  <si>
    <t xml:space="preserve">SPR</t>
  </si>
  <si>
    <t xml:space="preserve">SPR/IN/00001</t>
  </si>
  <si>
    <t xml:space="preserve">BILL/2026/00015</t>
  </si>
  <si>
    <t xml:space="preserve">PO/2026/0016</t>
  </si>
  <si>
    <t xml:space="preserve">CON/IN/00007, CON/IN/00008</t>
  </si>
  <si>
    <t xml:space="preserve">BILL/2026/00016, BILL/2026/00018</t>
  </si>
  <si>
    <t xml:space="preserve">PO/2026/0017</t>
  </si>
  <si>
    <t xml:space="preserve">CON/IN/00009</t>
  </si>
  <si>
    <t xml:space="preserve">BILL/2026/00019</t>
  </si>
  <si>
    <t xml:space="preserve">PO/2026/0018</t>
  </si>
  <si>
    <t xml:space="preserve">EQP/IN/00011</t>
  </si>
  <si>
    <t xml:space="preserve">BILL/2026/00023</t>
  </si>
  <si>
    <t xml:space="preserve">PO/2026/0019</t>
  </si>
  <si>
    <t xml:space="preserve">EQP/IN/00010</t>
  </si>
  <si>
    <t xml:space="preserve">BILL/2026/00020</t>
  </si>
  <si>
    <t xml:space="preserve">PO/2026/0020</t>
  </si>
  <si>
    <t xml:space="preserve">EQP/IN/00012</t>
  </si>
  <si>
    <t xml:space="preserve">BILL/2026/00024</t>
  </si>
  <si>
    <t xml:space="preserve">PO/2026/0021</t>
  </si>
  <si>
    <t xml:space="preserve">SPR/IN/00002</t>
  </si>
  <si>
    <t xml:space="preserve">BILL/2026/00021</t>
  </si>
  <si>
    <t xml:space="preserve">PO/2026/0022</t>
  </si>
  <si>
    <t xml:space="preserve">SPR/IN/00003, SPR/IN/00004</t>
  </si>
  <si>
    <t xml:space="preserve">BILL/2026/00022, BILL/2026/00026</t>
  </si>
  <si>
    <t xml:space="preserve">PO/2026/0023</t>
  </si>
  <si>
    <t xml:space="preserve">EQP/IN/00013</t>
  </si>
  <si>
    <t xml:space="preserve">BILL/2026/00028</t>
  </si>
  <si>
    <t xml:space="preserve">PO/2026/0024</t>
  </si>
  <si>
    <t xml:space="preserve">CON/IN/00010</t>
  </si>
  <si>
    <t xml:space="preserve">BILL/2026/00025</t>
  </si>
  <si>
    <t xml:space="preserve">PO/2026/0025</t>
  </si>
  <si>
    <t xml:space="preserve">CON/IN/00011</t>
  </si>
  <si>
    <t xml:space="preserve">BILL/2026/00027</t>
  </si>
  <si>
    <t xml:space="preserve">PO/2026/0026</t>
  </si>
  <si>
    <t xml:space="preserve">To Receive</t>
  </si>
  <si>
    <t xml:space="preserve">(none in period)</t>
  </si>
  <si>
    <t xml:space="preserve">PO/2026/0027</t>
  </si>
  <si>
    <t xml:space="preserve">Received Qty</t>
  </si>
  <si>
    <t xml:space="preserve">Unit Cost (EGP, ex-VAT)</t>
  </si>
  <si>
    <t xml:space="preserve">Open Qty</t>
  </si>
  <si>
    <t xml:space="preserve">Received Value (EGP)</t>
  </si>
  <si>
    <t xml:space="preserve">Ordered Value (EGP)</t>
  </si>
  <si>
    <t xml:space="preserve">A. Vendor bills (journal BILL)</t>
  </si>
  <si>
    <t xml:space="preserve">Matched to receipts (three-way match: PO - receipt - bill).</t>
  </si>
  <si>
    <t xml:space="preserve">Bill No</t>
  </si>
  <si>
    <t xml:space="preserve">Bill Date</t>
  </si>
  <si>
    <t xml:space="preserve">Purchase Order</t>
  </si>
  <si>
    <t xml:space="preserve">Receipt</t>
  </si>
  <si>
    <t xml:space="preserve">Vendor Reference</t>
  </si>
  <si>
    <t xml:space="preserve">Debit Notes (EGP)</t>
  </si>
  <si>
    <t xml:space="preserve">VINV-003-7554</t>
  </si>
  <si>
    <t xml:space="preserve">VINV-001-9782</t>
  </si>
  <si>
    <t xml:space="preserve">VINV-004-2553</t>
  </si>
  <si>
    <t xml:space="preserve">VINV-001-2807</t>
  </si>
  <si>
    <t xml:space="preserve">VINV-003-5243</t>
  </si>
  <si>
    <t xml:space="preserve">VINV-001-5828</t>
  </si>
  <si>
    <t xml:space="preserve">VINV-004-4822</t>
  </si>
  <si>
    <t xml:space="preserve">VINV-004-6829</t>
  </si>
  <si>
    <t xml:space="preserve">VINV-002-9430</t>
  </si>
  <si>
    <t xml:space="preserve">VINV-003-7359</t>
  </si>
  <si>
    <t xml:space="preserve">BILL/2026/00011</t>
  </si>
  <si>
    <t xml:space="preserve">EQP/IN/00006</t>
  </si>
  <si>
    <t xml:space="preserve">VINV-005-8435</t>
  </si>
  <si>
    <t xml:space="preserve">VINV-004-8431</t>
  </si>
  <si>
    <t xml:space="preserve">BILL/2026/00013</t>
  </si>
  <si>
    <t xml:space="preserve">EQP/IN/00007</t>
  </si>
  <si>
    <t xml:space="preserve">VINV-005-3743</t>
  </si>
  <si>
    <t xml:space="preserve">VINV-001-8890</t>
  </si>
  <si>
    <t xml:space="preserve">VINV-006-4115</t>
  </si>
  <si>
    <t xml:space="preserve">BILL/2026/00016</t>
  </si>
  <si>
    <t xml:space="preserve">CON/IN/00007</t>
  </si>
  <si>
    <t xml:space="preserve">VINV-003-9631</t>
  </si>
  <si>
    <t xml:space="preserve">VINV-001-5932</t>
  </si>
  <si>
    <t xml:space="preserve">BILL/2026/00018</t>
  </si>
  <si>
    <t xml:space="preserve">CON/IN/00008</t>
  </si>
  <si>
    <t xml:space="preserve">VINV-003-9004</t>
  </si>
  <si>
    <t xml:space="preserve">VINV-004-5013</t>
  </si>
  <si>
    <t xml:space="preserve">VINV-003-9901</t>
  </si>
  <si>
    <t xml:space="preserve">VINV-006-1632</t>
  </si>
  <si>
    <t xml:space="preserve">BILL/2026/00022</t>
  </si>
  <si>
    <t xml:space="preserve">SPR/IN/00003</t>
  </si>
  <si>
    <t xml:space="preserve">VINV-006-8422</t>
  </si>
  <si>
    <t xml:space="preserve">VINV-001-2414</t>
  </si>
  <si>
    <t xml:space="preserve">VINV-001-1246</t>
  </si>
  <si>
    <t xml:space="preserve">VINV-003-5392</t>
  </si>
  <si>
    <t xml:space="preserve">BILL/2026/00026</t>
  </si>
  <si>
    <t xml:space="preserve">SPR/IN/00004</t>
  </si>
  <si>
    <t xml:space="preserve">VINV-006-5080</t>
  </si>
  <si>
    <t xml:space="preserve">VINV-004-5827</t>
  </si>
  <si>
    <t xml:space="preserve">VINV-005-5682</t>
  </si>
  <si>
    <t xml:space="preserve">B. Vendor payments (journals CIB1 / NBE1)</t>
  </si>
  <si>
    <t xml:space="preserve">Payments are net of any debit notes on the bill.</t>
  </si>
  <si>
    <t xml:space="preserve">Applied to Bill</t>
  </si>
  <si>
    <t xml:space="preserve">NBE1/OUT/2026/0001</t>
  </si>
  <si>
    <t xml:space="preserve">NBE1/OUT/2026/0002</t>
  </si>
  <si>
    <t xml:space="preserve">NBE1/OUT/2026/0003</t>
  </si>
  <si>
    <t xml:space="preserve">NBE1/OUT/2026/0004</t>
  </si>
  <si>
    <t xml:space="preserve">NBE1/OUT/2026/0005</t>
  </si>
  <si>
    <t xml:space="preserve">CIB1/OUT/2026/0001</t>
  </si>
  <si>
    <t xml:space="preserve">NBE1/OUT/2026/0006</t>
  </si>
  <si>
    <t xml:space="preserve">CIB1/OUT/2026/0002</t>
  </si>
  <si>
    <t xml:space="preserve">CIB1/OUT/2026/0003</t>
  </si>
  <si>
    <t xml:space="preserve">NBE1/OUT/2026/0007</t>
  </si>
  <si>
    <t xml:space="preserve">NBE1/OUT/2026/0008</t>
  </si>
  <si>
    <t xml:space="preserve">CIB1/OUT/2026/0004</t>
  </si>
  <si>
    <t xml:space="preserve">NBE1/OUT/2026/0009</t>
  </si>
  <si>
    <t xml:space="preserve">CIB1/OUT/2026/0005</t>
  </si>
  <si>
    <t xml:space="preserve">NBE1/OUT/2026/0010</t>
  </si>
  <si>
    <t xml:space="preserve">CIB1/OUT/2026/0006</t>
  </si>
  <si>
    <t xml:space="preserve">NBE1/OUT/2026/0011</t>
  </si>
  <si>
    <t xml:space="preserve">CIB1/OUT/2026/0007</t>
  </si>
  <si>
    <t xml:space="preserve">Total payments</t>
  </si>
  <si>
    <t xml:space="preserve">Document No</t>
  </si>
  <si>
    <t xml:space="preserve">Type</t>
  </si>
  <si>
    <t xml:space="preserve">Date</t>
  </si>
  <si>
    <t xml:space="preserve">Warehouse</t>
  </si>
  <si>
    <t xml:space="preserve">Order Ref</t>
  </si>
  <si>
    <t xml:space="preserve">Partner ID</t>
  </si>
  <si>
    <t xml:space="preserve">Qty</t>
  </si>
  <si>
    <t xml:space="preserve">Lots / Serials</t>
  </si>
  <si>
    <t xml:space="preserve">Invoice / Bill</t>
  </si>
  <si>
    <t xml:space="preserve">CON/OUT/00001</t>
  </si>
  <si>
    <t xml:space="preserve">Delivery</t>
  </si>
  <si>
    <t xml:space="preserve">LOT-MSK-2602A1 x494</t>
  </si>
  <si>
    <t xml:space="preserve">CON/OUT/00002</t>
  </si>
  <si>
    <t xml:space="preserve">LOT-MSK-2602A1 x240</t>
  </si>
  <si>
    <t xml:space="preserve">LOT-GLV-2603A1 x247</t>
  </si>
  <si>
    <t xml:space="preserve">LOT-GLV-2603A1 x12</t>
  </si>
  <si>
    <t xml:space="preserve">CON/OUT/00004</t>
  </si>
  <si>
    <t xml:space="preserve">LOT-SYR-2603A1 x134</t>
  </si>
  <si>
    <t xml:space="preserve">CON/OUT/00005</t>
  </si>
  <si>
    <t xml:space="preserve">LOT-ECE-2603A1 x62</t>
  </si>
  <si>
    <t xml:space="preserve">LOT-IVS-2512A1 x180</t>
  </si>
  <si>
    <t xml:space="preserve">CON/OUT/00006</t>
  </si>
  <si>
    <t xml:space="preserve">LOT-ECE-2603A1 x98</t>
  </si>
  <si>
    <t xml:space="preserve">LOT-PAD-2602A1 x10</t>
  </si>
  <si>
    <t xml:space="preserve">LOT-GLV-2603A1 x4</t>
  </si>
  <si>
    <t xml:space="preserve">LOT-SYR-2603A1 x11</t>
  </si>
  <si>
    <t xml:space="preserve">LOT-GLV-2603A1 x189</t>
  </si>
  <si>
    <t xml:space="preserve">LOT-MSK-2602A1 x295</t>
  </si>
  <si>
    <t xml:space="preserve">LOT-GAU-2512A1 x197</t>
  </si>
  <si>
    <t xml:space="preserve">CON/OUT/00010</t>
  </si>
  <si>
    <t xml:space="preserve">LOT-MSK-2602A1 x171; LOT-MSK-2603B2 x326</t>
  </si>
  <si>
    <t xml:space="preserve">LOT-ECE-2603A1 x20; LOT-ECE-2603B2 x47</t>
  </si>
  <si>
    <t xml:space="preserve">LOT-MSK-2603B2 x380</t>
  </si>
  <si>
    <t xml:space="preserve">CON/OUT/00012</t>
  </si>
  <si>
    <t xml:space="preserve">LOT-GAU-2512A1 x242</t>
  </si>
  <si>
    <t xml:space="preserve">CON/OUT/00013</t>
  </si>
  <si>
    <t xml:space="preserve">LOT-GLV-2603A1 x220</t>
  </si>
  <si>
    <t xml:space="preserve">CON/OUT/00014</t>
  </si>
  <si>
    <t xml:space="preserve">LOT-ECE-2603B2 x73</t>
  </si>
  <si>
    <t xml:space="preserve">LOT-MSK-2603B2 x94</t>
  </si>
  <si>
    <t xml:space="preserve">LOT-PAD-2602A1 x15</t>
  </si>
  <si>
    <t xml:space="preserve">LOT-MSK-2606C3 x24</t>
  </si>
  <si>
    <t xml:space="preserve">LOT-GAU-2512A1 x15</t>
  </si>
  <si>
    <t xml:space="preserve">LOT-GLV-2603A1 x253</t>
  </si>
  <si>
    <t xml:space="preserve">LOT-SYR-2603A1 x115</t>
  </si>
  <si>
    <t xml:space="preserve">CON/OUT/00017</t>
  </si>
  <si>
    <t xml:space="preserve">LOT-GAU-2512A1 x86; LOT-GAU-2603B2 x71</t>
  </si>
  <si>
    <t xml:space="preserve">LOT-GAU-2603B2 x12</t>
  </si>
  <si>
    <t xml:space="preserve">LOT-SYR-2603A1 x5</t>
  </si>
  <si>
    <t xml:space="preserve">LOT-GLV-2603A1 x7</t>
  </si>
  <si>
    <t xml:space="preserve">CON/OUT/00020</t>
  </si>
  <si>
    <t xml:space="preserve">LOT-KIT-2602B2 x34</t>
  </si>
  <si>
    <t xml:space="preserve">LOT-CAN-2603A1 x60</t>
  </si>
  <si>
    <t xml:space="preserve">LOT-SYR-2603A1 x122</t>
  </si>
  <si>
    <t xml:space="preserve">LOT-GAU-2603B2 x111</t>
  </si>
  <si>
    <t xml:space="preserve">LOT-GLV-2603A1 x24; LOT-GLV-2601B2 x360</t>
  </si>
  <si>
    <t xml:space="preserve">CON/OUT/00023</t>
  </si>
  <si>
    <t xml:space="preserve">LOT-CAN-2603A1 x134</t>
  </si>
  <si>
    <t xml:space="preserve">LOT-GLV-2601B2 x11</t>
  </si>
  <si>
    <t xml:space="preserve">CON/OUT/00025</t>
  </si>
  <si>
    <t xml:space="preserve">LOT-SYR-2603A1 x220</t>
  </si>
  <si>
    <t xml:space="preserve">LOT-MSK-2606C3 x435</t>
  </si>
  <si>
    <t xml:space="preserve">LOT-ECE-2606C3 x64</t>
  </si>
  <si>
    <t xml:space="preserve">CON/OUT/00027</t>
  </si>
  <si>
    <t xml:space="preserve">LOT-GAU-2603B2 x166; LOT-GAU-2606C3 x74</t>
  </si>
  <si>
    <t xml:space="preserve">CON/OUT/00028</t>
  </si>
  <si>
    <t xml:space="preserve">LOT-ECE-2606C3 x51</t>
  </si>
  <si>
    <t xml:space="preserve">LOT-SYR-2603A1 x65; LOT-SYR-2512B2 x210</t>
  </si>
  <si>
    <t xml:space="preserve">LOT-CAN-2603A1 x50</t>
  </si>
  <si>
    <t xml:space="preserve">CON/OUT/00030</t>
  </si>
  <si>
    <t xml:space="preserve">LOT-IVS-2512A1 x108</t>
  </si>
  <si>
    <t xml:space="preserve">LOT-GLV-2601B2 x269; LOT-GLV-2606C3 x49</t>
  </si>
  <si>
    <t xml:space="preserve">CON/OUT/00031</t>
  </si>
  <si>
    <t xml:space="preserve">LOT-MSK-2606C3 x265</t>
  </si>
  <si>
    <t xml:space="preserve">CON/OUT/00032</t>
  </si>
  <si>
    <t xml:space="preserve">LOT-GAU-2606C3 x17</t>
  </si>
  <si>
    <t xml:space="preserve">LOT-SYR-2512B2 x8</t>
  </si>
  <si>
    <t xml:space="preserve">LOT-GAU-2606C3 x10</t>
  </si>
  <si>
    <t xml:space="preserve">CON/OUT/00035</t>
  </si>
  <si>
    <t xml:space="preserve">LOT-SYR-2512B2 x179</t>
  </si>
  <si>
    <t xml:space="preserve">CON/OUT/00036</t>
  </si>
  <si>
    <t xml:space="preserve">LOT-TUB-2512A1 x5</t>
  </si>
  <si>
    <t xml:space="preserve">LOT-SYR-2512B2 x35; LOT-SYR-2607C3 x225</t>
  </si>
  <si>
    <t xml:space="preserve">LOT-GAU-2606C3 x173</t>
  </si>
  <si>
    <t xml:space="preserve">CON/OUT/00037</t>
  </si>
  <si>
    <t xml:space="preserve">LOT-SYR-2607C3 x259</t>
  </si>
  <si>
    <t xml:space="preserve">CON/OUT/00038</t>
  </si>
  <si>
    <t xml:space="preserve">LOT-IVS-2512A1 x146</t>
  </si>
  <si>
    <t xml:space="preserve">LOT-ECE-2606C3 x86</t>
  </si>
  <si>
    <t xml:space="preserve">CON/OUT/00039</t>
  </si>
  <si>
    <t xml:space="preserve">LOT-MSK-2606C3 x378</t>
  </si>
  <si>
    <t xml:space="preserve">LOT-SYR-2607C3 x295</t>
  </si>
  <si>
    <t xml:space="preserve">LOT-GAU-2606C3 x186</t>
  </si>
  <si>
    <t xml:space="preserve">LOT-SYR-2607C3 x19</t>
  </si>
  <si>
    <t xml:space="preserve">LOT-MSK-2606C3 x27</t>
  </si>
  <si>
    <t xml:space="preserve">CON/OUT/00042</t>
  </si>
  <si>
    <t xml:space="preserve">LOT-ECE-2606C3 x54</t>
  </si>
  <si>
    <t xml:space="preserve">CON/OUT/00043</t>
  </si>
  <si>
    <t xml:space="preserve">LOT-MSK-2606C3 x239</t>
  </si>
  <si>
    <t xml:space="preserve">LOT-MSK-2606C3 x29</t>
  </si>
  <si>
    <t xml:space="preserve">LOT-GAU-2606C3 x14</t>
  </si>
  <si>
    <t xml:space="preserve">LOT-GLV-2606C3 x234</t>
  </si>
  <si>
    <t xml:space="preserve">LOT-KIT-2602B2 x22</t>
  </si>
  <si>
    <t xml:space="preserve">LOT-GLV-2606C3 x12</t>
  </si>
  <si>
    <t xml:space="preserve">LOT-SYR-2608D4 x8</t>
  </si>
  <si>
    <t xml:space="preserve">LOT-GLV-2606C3 x199</t>
  </si>
  <si>
    <t xml:space="preserve">LOT-SYR-2608D4 x184</t>
  </si>
  <si>
    <t xml:space="preserve">LOT-GAU-2606C3 x241</t>
  </si>
  <si>
    <t xml:space="preserve">CON/OUT/00049</t>
  </si>
  <si>
    <t xml:space="preserve">LOT-IVS-2512A1 x46; LOT-IVS-2512B2 x135</t>
  </si>
  <si>
    <t xml:space="preserve">LOT-CAN-2603A1 x87</t>
  </si>
  <si>
    <t xml:space="preserve">CON/OUT/00050</t>
  </si>
  <si>
    <t xml:space="preserve">LOT-SYR-2608E5 x182</t>
  </si>
  <si>
    <t xml:space="preserve">LOT-MSK-2606C3 x200</t>
  </si>
  <si>
    <t xml:space="preserve">LOT-SYR-2608E5 x11</t>
  </si>
  <si>
    <t xml:space="preserve">LOT-MSK-2606C3 x20</t>
  </si>
  <si>
    <t xml:space="preserve">LOT-MSK-2606C3 x5</t>
  </si>
  <si>
    <t xml:space="preserve">LOT-SYR-2608E5 x10</t>
  </si>
  <si>
    <t xml:space="preserve">CON/OUT/00053</t>
  </si>
  <si>
    <t xml:space="preserve">LOT-GLV-2606C3 x170</t>
  </si>
  <si>
    <t xml:space="preserve">CON/OUT/00054</t>
  </si>
  <si>
    <t xml:space="preserve">LOT-GAU-2606C3 x209</t>
  </si>
  <si>
    <t xml:space="preserve">CON/OUT/00055</t>
  </si>
  <si>
    <t xml:space="preserve">LOT-MSK-2606C3 x17</t>
  </si>
  <si>
    <t xml:space="preserve">CON/OUT/00056</t>
  </si>
  <si>
    <t xml:space="preserve">LOT-PAD-2602A1 x9</t>
  </si>
  <si>
    <t xml:space="preserve">LOT-KIT-2602B2 x23</t>
  </si>
  <si>
    <t xml:space="preserve">LOT-GLV-2606C3 x242</t>
  </si>
  <si>
    <t xml:space="preserve">LOT-SYR-2608E5 x158</t>
  </si>
  <si>
    <t xml:space="preserve">LOT-GLV-2606C3 x9</t>
  </si>
  <si>
    <t xml:space="preserve">CON/OUT/00059</t>
  </si>
  <si>
    <t xml:space="preserve">LOT-KIT-2602B2 x17; LOT-KIT-2512C3 x3</t>
  </si>
  <si>
    <t xml:space="preserve">CON/OUT/00060</t>
  </si>
  <si>
    <t xml:space="preserve">LOT-SYR-2608E5 x123; LOT-SYR-2608D4 x165</t>
  </si>
  <si>
    <t xml:space="preserve">CON/OUT/00061</t>
  </si>
  <si>
    <t xml:space="preserve">LOT-GLV-2606C3 x228</t>
  </si>
  <si>
    <t xml:space="preserve">CON/OUT/00062</t>
  </si>
  <si>
    <t xml:space="preserve">LOT-GLV-2606C3 x308</t>
  </si>
  <si>
    <t xml:space="preserve">LOT-MSK-2606C3 x292</t>
  </si>
  <si>
    <t xml:space="preserve">CON/OUT/00063</t>
  </si>
  <si>
    <t xml:space="preserve">LOT-SYR-2608D4 x181</t>
  </si>
  <si>
    <t xml:space="preserve">LOT-ECE-2606C3 x100</t>
  </si>
  <si>
    <t xml:space="preserve">LOT-MSK-2606C3 x15</t>
  </si>
  <si>
    <t xml:space="preserve">LOT-GLV-2606C3 x10</t>
  </si>
  <si>
    <t xml:space="preserve">CON/OUT/00066</t>
  </si>
  <si>
    <t xml:space="preserve">LOT-CAN-2603A1 x29; LOT-CAN-2603B2 x29</t>
  </si>
  <si>
    <t xml:space="preserve">LOT-IVS-2512B2 x119</t>
  </si>
  <si>
    <t xml:space="preserve">LOT-ECE-2606C3 x80</t>
  </si>
  <si>
    <t xml:space="preserve">LOT-SYR-2608D4 x11</t>
  </si>
  <si>
    <t xml:space="preserve">CON/OUT/00069</t>
  </si>
  <si>
    <t xml:space="preserve">LOT-SYR-2608D4 x77</t>
  </si>
  <si>
    <t xml:space="preserve">CON/OUT/00070</t>
  </si>
  <si>
    <t xml:space="preserve">LOT-SYR-2608D4 x85</t>
  </si>
  <si>
    <t xml:space="preserve">LOT-CAN-2603B2 x62</t>
  </si>
  <si>
    <t xml:space="preserve">LOT-PAD-2602A1 x6</t>
  </si>
  <si>
    <t xml:space="preserve">CON/OUT/00071</t>
  </si>
  <si>
    <t xml:space="preserve">LOT-ECE-2609D4 x65</t>
  </si>
  <si>
    <t xml:space="preserve">LOT-SYR-2608D4 x52; LOT-SYR-2607C3 x115</t>
  </si>
  <si>
    <t xml:space="preserve">LOT-IVS-2512B2 x66; LOT-IVS-2608D4 x128</t>
  </si>
  <si>
    <t xml:space="preserve">CON/OUT/00072</t>
  </si>
  <si>
    <t xml:space="preserve">LOT-GAU-2606C3 x1; LOT-GAU-2608D4 x220</t>
  </si>
  <si>
    <t xml:space="preserve">LOT-MSK-2606C3 x272</t>
  </si>
  <si>
    <t xml:space="preserve">CON/OUT/00073</t>
  </si>
  <si>
    <t xml:space="preserve">LOT-TUB-2512A1 x6</t>
  </si>
  <si>
    <t xml:space="preserve">LOT-CAN-2603B2 x54</t>
  </si>
  <si>
    <t xml:space="preserve">LOT-GLV-2606C3 x298</t>
  </si>
  <si>
    <t xml:space="preserve">CON/OUT/00074</t>
  </si>
  <si>
    <t xml:space="preserve">LOT-GLV-2606C3 x6</t>
  </si>
  <si>
    <t xml:space="preserve">LOT-SYR-2607C3 x217</t>
  </si>
  <si>
    <t xml:space="preserve">(invoiced after period end)</t>
  </si>
  <si>
    <t xml:space="preserve">LOT-GLV-2606C3 x37; LOT-GLV-2609D4 x264</t>
  </si>
  <si>
    <t xml:space="preserve">LOT-GAU-2608D4 x157</t>
  </si>
  <si>
    <t xml:space="preserve">CON/OUT/00076</t>
  </si>
  <si>
    <t xml:space="preserve">LOT-GLV-2609D4 x398</t>
  </si>
  <si>
    <t xml:space="preserve">LOT-MSK-2606C3 x342</t>
  </si>
  <si>
    <t xml:space="preserve">EQP/OUT/00001</t>
  </si>
  <si>
    <t xml:space="preserve">SN-SUR-2601-0006 x1; SN-SUR-2601-0008 x1; SN-SUR-2602-0007 x1</t>
  </si>
  <si>
    <t xml:space="preserve">EQP/OUT/00002</t>
  </si>
  <si>
    <t xml:space="preserve">SN-INF-2602-0003 x1; SN-INF-2602-0014 x1</t>
  </si>
  <si>
    <t xml:space="preserve">SN-MON-2602-0005 x1; SN-MON-2602-0007 x1; SN-MON-2603-0006 x1</t>
  </si>
  <si>
    <t xml:space="preserve">EQP/OUT/00003</t>
  </si>
  <si>
    <t xml:space="preserve">SN-ECG-2602-0001 x1; SN-ECG-2602-0004 x1</t>
  </si>
  <si>
    <t xml:space="preserve">EQP/OUT/00004</t>
  </si>
  <si>
    <t xml:space="preserve">SN-INF-2602-0009 x1; SN-INF-2602-0004 x1</t>
  </si>
  <si>
    <t xml:space="preserve">EQP/OUT/00005</t>
  </si>
  <si>
    <t xml:space="preserve">SN-INF-2602-0013 x1; SN-INF-2602-0011 x1; SN-INF-2602-0007 x1; SN-INF-2603-0006 x1</t>
  </si>
  <si>
    <t xml:space="preserve">EQP/OUT/00006</t>
  </si>
  <si>
    <t xml:space="preserve">SN-MON-2603-0008 x1</t>
  </si>
  <si>
    <t xml:space="preserve">EQP/OUT/00007</t>
  </si>
  <si>
    <t xml:space="preserve">SN-INF-2603-0001 x1; SN-INF-2603-0012 x1</t>
  </si>
  <si>
    <t xml:space="preserve">SN-SUR-2602-0001 x1; SN-SUR-2603-0004 x1</t>
  </si>
  <si>
    <t xml:space="preserve">SN-ECG-2603-0005 x1; SN-ECG-2603-0002 x1</t>
  </si>
  <si>
    <t xml:space="preserve">SN-OXY-2602-0001 x1; SN-OXY-2602-0006 x1; SN-OXY-2603-0004 x1</t>
  </si>
  <si>
    <t xml:space="preserve">EQP/OUT/00009</t>
  </si>
  <si>
    <t xml:space="preserve">SN-INF-2603-0002 x1; SN-INF-2603-0005 x1; SN-INF-2603-0008 x1; SN-INF-2603-0010 x1</t>
  </si>
  <si>
    <t xml:space="preserve">EQP/OUT/00010</t>
  </si>
  <si>
    <t xml:space="preserve">SN-MON-2603-0002 x1</t>
  </si>
  <si>
    <t xml:space="preserve">EQP/OUT/00011</t>
  </si>
  <si>
    <t xml:space="preserve">SN-OXY-2603-0007 x1; SN-OXY-2603-0009 x1; SN-OXY-2603-0008 x1</t>
  </si>
  <si>
    <t xml:space="preserve">EQP/OUT/00012</t>
  </si>
  <si>
    <t xml:space="preserve">SN-DEF-2602-0001 x1; SN-DEF-2603-0004 x1</t>
  </si>
  <si>
    <t xml:space="preserve">EQP/OUT/00013</t>
  </si>
  <si>
    <t xml:space="preserve">SN-ECG-2604-0003 x1</t>
  </si>
  <si>
    <t xml:space="preserve">EQP/OUT/00014</t>
  </si>
  <si>
    <t xml:space="preserve">SN-OXY-2603-0005 x1; SN-OXY-2603-0002 x1; SN-OXY-2603-0003 x1; SN-OXY-2604-0011 x1</t>
  </si>
  <si>
    <t xml:space="preserve">EQP/OUT/00015</t>
  </si>
  <si>
    <t xml:space="preserve">SN-INF-2606-0015 x1; SN-INF-2606-0016 x1; SN-INF-2606-0017 x1</t>
  </si>
  <si>
    <t xml:space="preserve">EQP/OUT/00016</t>
  </si>
  <si>
    <t xml:space="preserve">SN-ECG-2606-0006 x1</t>
  </si>
  <si>
    <t xml:space="preserve">EQP/OUT/00017</t>
  </si>
  <si>
    <t xml:space="preserve">SN-INF-2606-0018 x1; SN-INF-2606-0019 x1; SN-INF-2606-0020 x1; SN-INF-2606-0021 x1; SN-INF-2606-0022 x1; SN-INF-2606-0023 x1</t>
  </si>
  <si>
    <t xml:space="preserve">EQP/OUT/00018</t>
  </si>
  <si>
    <t xml:space="preserve">SN-OXY-2604-0012 x1; SN-OXY-2604-0010 x1</t>
  </si>
  <si>
    <t xml:space="preserve">EQP/OUT/00019</t>
  </si>
  <si>
    <t xml:space="preserve">SN-INF-2606-0024 x1; SN-INF-2606-0025 x1; SN-INF-2606-0026 x1; SN-INF-2606-0027 x1; SN-INF-2606-0028 x1</t>
  </si>
  <si>
    <t xml:space="preserve">EQP/OUT/00020</t>
  </si>
  <si>
    <t xml:space="preserve">SN-DEF-2603-0002 x1; SN-DEF-2603-0003 x1</t>
  </si>
  <si>
    <t xml:space="preserve">EQP/OUT/00021</t>
  </si>
  <si>
    <t xml:space="preserve">SN-INF-2606-0029 x1; SN-INF-2606-0030 x1; SN-INF-2606-0031 x1; SN-INF-2606-0032 x1</t>
  </si>
  <si>
    <t xml:space="preserve">EQP/OUT/00022</t>
  </si>
  <si>
    <t xml:space="preserve">SN-BED-2602-0005 x1; SN-BED-2602-0001 x1; SN-BED-2602-0010 x1</t>
  </si>
  <si>
    <t xml:space="preserve">SN-ECG-2606-0007 x1; SN-ECG-2606-0008 x1</t>
  </si>
  <si>
    <t xml:space="preserve">EQP/OUT/00023</t>
  </si>
  <si>
    <t xml:space="preserve">SN-BED-2602-0006 x1; SN-BED-2602-0008 x1; SN-BED-2602-0002 x1</t>
  </si>
  <si>
    <t xml:space="preserve">SN-INF-2608-0033 x1; SN-INF-2608-0034 x1; SN-INF-2608-0035 x1; SN-INF-2608-0036 x1; SN-INF-2608-0037 x1</t>
  </si>
  <si>
    <t xml:space="preserve">EQP/OUT/00024</t>
  </si>
  <si>
    <t xml:space="preserve">SN-INF-2608-0038 x1; SN-INF-2608-0039 x1; SN-INF-2608-0040 x1</t>
  </si>
  <si>
    <t xml:space="preserve">EQP/OUT/00025</t>
  </si>
  <si>
    <t xml:space="preserve">SN-ECG-2606-0009 x1</t>
  </si>
  <si>
    <t xml:space="preserve">SN-MRI-2602-0001 x1</t>
  </si>
  <si>
    <t xml:space="preserve">EQP/OUT/00027</t>
  </si>
  <si>
    <t xml:space="preserve">SN-MON-2603-0003 x1; SN-MON-2603-0004 x1; SN-MON-2603-0001 x1</t>
  </si>
  <si>
    <t xml:space="preserve">SN-AUT-2603-0001 x1</t>
  </si>
  <si>
    <t xml:space="preserve">EQP/OUT/00028</t>
  </si>
  <si>
    <t xml:space="preserve">SN-OXY-2607-0013 x1; SN-OXY-2607-0014 x1; SN-OXY-2607-0015 x1; SN-OXY-2607-0016 x1</t>
  </si>
  <si>
    <t xml:space="preserve">EQP/OUT/00029</t>
  </si>
  <si>
    <t xml:space="preserve">SN-DEF-2607-0005 x1</t>
  </si>
  <si>
    <t xml:space="preserve">EQP/OUT/00030</t>
  </si>
  <si>
    <t xml:space="preserve">SN-INF-2608-0041 x1; SN-INF-2608-0042 x1; SN-INF-2608-0043 x1</t>
  </si>
  <si>
    <t xml:space="preserve">EQP/OUT/00031</t>
  </si>
  <si>
    <t xml:space="preserve">SN-INF-2608-0044 x1; SN-INF-2608-0045 x1</t>
  </si>
  <si>
    <t xml:space="preserve">SN-BED-2602-0007 x1; SN-BED-2603-0003 x1</t>
  </si>
  <si>
    <t xml:space="preserve">SN-AUT-2603-0002 x1</t>
  </si>
  <si>
    <t xml:space="preserve">EQP/OUT/00032</t>
  </si>
  <si>
    <t xml:space="preserve">SN-INF-2608-0046 x1; SN-INF-2608-0047 x1</t>
  </si>
  <si>
    <t xml:space="preserve">SN-USG-2603-0003 x1</t>
  </si>
  <si>
    <t xml:space="preserve">EQP/OUT/00033</t>
  </si>
  <si>
    <t xml:space="preserve">SN-MON-2606-0009 x1; SN-MON-2606-0010 x1; SN-MON-2606-0011 x1</t>
  </si>
  <si>
    <t xml:space="preserve">EQP/OUT/00034</t>
  </si>
  <si>
    <t xml:space="preserve">SN-OXY-2607-0017 x1; SN-OXY-2607-0018 x1</t>
  </si>
  <si>
    <t xml:space="preserve">EQP/OUT/00035</t>
  </si>
  <si>
    <t xml:space="preserve">SN-INF-2609-0048 x1; SN-INF-2609-0049 x1</t>
  </si>
  <si>
    <t xml:space="preserve">EQP/OUT/00036</t>
  </si>
  <si>
    <t xml:space="preserve">SN-INF-2609-0050 x1; SN-INF-2609-0051 x1</t>
  </si>
  <si>
    <t xml:space="preserve">EQP/OUT/00037</t>
  </si>
  <si>
    <t xml:space="preserve">SN-MON-2606-0012 x1; SN-MON-2606-0013 x1</t>
  </si>
  <si>
    <t xml:space="preserve">EQP/OUT/00038</t>
  </si>
  <si>
    <t xml:space="preserve">SN-ECG-2606-0010 x1; SN-ECG-2606-0011 x1</t>
  </si>
  <si>
    <t xml:space="preserve">SPR/OUT/00001</t>
  </si>
  <si>
    <t xml:space="preserve">NOLOT-SP-BAT-001 x3</t>
  </si>
  <si>
    <t xml:space="preserve">SPR/OUT/00002</t>
  </si>
  <si>
    <t xml:space="preserve">NOLOT-SP-GSK-001 x1</t>
  </si>
  <si>
    <t xml:space="preserve">NOLOT-SP-SPO-001 x2</t>
  </si>
  <si>
    <t xml:space="preserve">SPR/OUT/00004</t>
  </si>
  <si>
    <t xml:space="preserve">NOLOT-SP-GSK-001 x2</t>
  </si>
  <si>
    <t xml:space="preserve">SPR/OUT/00005</t>
  </si>
  <si>
    <t xml:space="preserve">NOLOT-SP-SPO-001 x7</t>
  </si>
  <si>
    <t xml:space="preserve">SPR/OUT/00006</t>
  </si>
  <si>
    <t xml:space="preserve">LOT-FIL-2601B2 x7</t>
  </si>
  <si>
    <t xml:space="preserve">SPR/OUT/00007</t>
  </si>
  <si>
    <t xml:space="preserve">NOLOT-SP-SPO-001 x4</t>
  </si>
  <si>
    <t xml:space="preserve">SPR/OUT/00008</t>
  </si>
  <si>
    <t xml:space="preserve">NOLOT-SP-SPO-001 x3</t>
  </si>
  <si>
    <t xml:space="preserve">SPR/OUT/00009</t>
  </si>
  <si>
    <t xml:space="preserve">LOT-FIL-2601B2 x13</t>
  </si>
  <si>
    <t xml:space="preserve">SPR/OUT/00010</t>
  </si>
  <si>
    <t xml:space="preserve">NOLOT-SP-BAT-001 x4</t>
  </si>
  <si>
    <t xml:space="preserve">SPR/OUT/00011</t>
  </si>
  <si>
    <t xml:space="preserve">NOLOT-SP-SPO-001 x1</t>
  </si>
  <si>
    <t xml:space="preserve">SPR/OUT/00012</t>
  </si>
  <si>
    <t xml:space="preserve">SPR/OUT/00013</t>
  </si>
  <si>
    <t xml:space="preserve">SPR/OUT/00014</t>
  </si>
  <si>
    <t xml:space="preserve">LOT-FIL-2601B2 x17</t>
  </si>
  <si>
    <t xml:space="preserve">SPR/OUT/00015</t>
  </si>
  <si>
    <t xml:space="preserve">NOLOT-SP-SPO-001 x5</t>
  </si>
  <si>
    <t xml:space="preserve">SPR/OUT/00016</t>
  </si>
  <si>
    <t xml:space="preserve">SPR/OUT/00017</t>
  </si>
  <si>
    <t xml:space="preserve">LOT-FIL-2601B2 x16; LOT-FIL-2602A1 x4</t>
  </si>
  <si>
    <t xml:space="preserve">SPR/OUT/00018</t>
  </si>
  <si>
    <t xml:space="preserve">SPR/OUT/00019</t>
  </si>
  <si>
    <t xml:space="preserve">SPR/OUT/00020</t>
  </si>
  <si>
    <t xml:space="preserve">SPR/OUT/00021</t>
  </si>
  <si>
    <t xml:space="preserve">NOLOT-SP-SPO-001 x6</t>
  </si>
  <si>
    <t xml:space="preserve">SPR/OUT/00022</t>
  </si>
  <si>
    <t xml:space="preserve">LOT-FIL-2602A1 x17</t>
  </si>
  <si>
    <t xml:space="preserve">SPR/OUT/00023</t>
  </si>
  <si>
    <t xml:space="preserve">SPR/OUT/00024</t>
  </si>
  <si>
    <t xml:space="preserve">SPR/OUT/00025</t>
  </si>
  <si>
    <t xml:space="preserve">LOT-MSK-2606C3 x2706</t>
  </si>
  <si>
    <t xml:space="preserve">LOT-ECE-2606C3 x427</t>
  </si>
  <si>
    <t xml:space="preserve">LOT-GAU-2606C3 x939</t>
  </si>
  <si>
    <t xml:space="preserve">LOT-GLV-2606C3 x1836</t>
  </si>
  <si>
    <t xml:space="preserve">LOT-SYR-2607C3 x1307</t>
  </si>
  <si>
    <t xml:space="preserve">LOT-CAN-2607C3 x644</t>
  </si>
  <si>
    <t xml:space="preserve">LOT-SYR-2608D4 x763</t>
  </si>
  <si>
    <t xml:space="preserve">LOT-IVS-2608C3 x440</t>
  </si>
  <si>
    <t xml:space="preserve">LOT-GAU-2608D4 x553</t>
  </si>
  <si>
    <t xml:space="preserve">LOT-SYR-2608E5 x509</t>
  </si>
  <si>
    <t xml:space="preserve">LOT-IVS-2608D4 x294</t>
  </si>
  <si>
    <t xml:space="preserve">LOT-GAU-2608E5 x368</t>
  </si>
  <si>
    <t xml:space="preserve">LOT-KIT-2608D4 x296</t>
  </si>
  <si>
    <t xml:space="preserve">LOT-MSK-2609D4 x2092</t>
  </si>
  <si>
    <t xml:space="preserve">LOT-GLV-2609D4 x2140</t>
  </si>
  <si>
    <t xml:space="preserve">LOT-ECE-2609D4 x420</t>
  </si>
  <si>
    <t xml:space="preserve">SN-MON-2606-0009 x1; SN-MON-2606-0010 x1; SN-MON-2606-0011 x1; SN-MON-2606-0012 x1; SN-MON-2606-0013 x1; SN-MON-2606-0014 x1; SN-MON-2606-0015 x1; SN-MON-2606-0016 x1; SN-MON-2606-0017 x1</t>
  </si>
  <si>
    <t xml:space="preserve">SN-ECG-2606-0006 x1; SN-ECG-2606-0007 x1; SN-ECG-2606-0008 x1; SN-ECG-2606-0009 x1; SN-ECG-2606-0010 x1; SN-ECG-2606-0011 x1; SN-ECG-2606-0012 x1</t>
  </si>
  <si>
    <t xml:space="preserve">SN-INF-2606-0015 x1; SN-INF-2606-0016 x1; SN-INF-2606-0017 x1; SN-INF-2606-0018 x1; SN-INF-2606-0019 x1; SN-INF-2606-0020 x1; SN-INF-2606-0021 x1; SN-INF-2606-0022 x1; SN-INF-2606-0023 x1; SN-INF-2606-0024 x1; SN-INF-2606-0025 x1; SN-INF-2606-0026 x1; SN-INF-2606-0027 x1; SN-INF-2606-0028 x1; SN-INF-2606-0029 x1; SN-INF-2606-0030 x1; SN-INF-2606-0031 x1; SN-INF-2606-0032 x1</t>
  </si>
  <si>
    <t xml:space="preserve">SN-SUR-2606-0009 x1; SN-SUR-2606-0010 x1; SN-SUR-2606-0011 x1; SN-SUR-2606-0012 x1; SN-SUR-2606-0013 x1; SN-SUR-2606-0014 x1; SN-SUR-2606-0015 x1; SN-SUR-2606-0016 x1; SN-SUR-2606-0017 x1</t>
  </si>
  <si>
    <t xml:space="preserve">SN-MRI-2607-0002 x1</t>
  </si>
  <si>
    <t xml:space="preserve">SN-OXY-2607-0013 x1; SN-OXY-2607-0014 x1; SN-OXY-2607-0015 x1; SN-OXY-2607-0016 x1; SN-OXY-2607-0017 x1; SN-OXY-2607-0018 x1; SN-OXY-2607-0019 x1; SN-OXY-2607-0020 x1</t>
  </si>
  <si>
    <t xml:space="preserve">SN-OXY-2607-0021 x1; SN-OXY-2607-0022 x1; SN-OXY-2607-0023 x1; SN-OXY-2607-0024 x1; SN-OXY-2607-0025 x1; SN-OXY-2607-0026 x1</t>
  </si>
  <si>
    <t xml:space="preserve">SN-DEF-2607-0005 x1; SN-DEF-2607-0006 x1; SN-DEF-2607-0007 x1; SN-DEF-2607-0008 x1; SN-DEF-2607-0009 x1</t>
  </si>
  <si>
    <t xml:space="preserve">SN-INF-2608-0033 x1; SN-INF-2608-0034 x1; SN-INF-2608-0035 x1; SN-INF-2608-0036 x1; SN-INF-2608-0037 x1; SN-INF-2608-0038 x1; SN-INF-2608-0039 x1; SN-INF-2608-0040 x1; SN-INF-2608-0041 x1; SN-INF-2608-0042 x1; SN-INF-2608-0043 x1; SN-INF-2608-0044 x1; SN-INF-2608-0045 x1; SN-INF-2608-0046 x1; SN-INF-2608-0047 x1</t>
  </si>
  <si>
    <t xml:space="preserve">SN-BED-2609-0011 x1; SN-BED-2609-0012 x1; SN-BED-2609-0013 x1; SN-BED-2609-0014 x1; SN-BED-2609-0015 x1; SN-BED-2609-0016 x1; SN-BED-2609-0017 x1; SN-BED-2609-0018 x1; SN-BED-2609-0019 x1; SN-BED-2609-0020 x1; SN-BED-2609-0021 x1; SN-BED-2609-0022 x1; SN-BED-2609-0023 x1</t>
  </si>
  <si>
    <t xml:space="preserve">SN-INF-2609-0048 x1; SN-INF-2609-0049 x1; SN-INF-2609-0050 x1; SN-INF-2609-0051 x1; SN-INF-2609-0052 x1; SN-INF-2609-0053 x1; SN-INF-2609-0054 x1; SN-INF-2609-0055 x1; SN-INF-2609-0056 x1; SN-INF-2609-0057 x1; SN-INF-2609-0058 x1; SN-INF-2609-0059 x1; SN-INF-2609-0060 x1; SN-INF-2609-0061 x1; SN-INF-2609-0062 x1; SN-INF-2609-0063 x1; SN-INF-2609-0064 x1</t>
  </si>
  <si>
    <t xml:space="preserve">SN-ECG-2609-0013 x1; SN-ECG-2609-0014 x1; SN-ECG-2609-0015 x1; SN-ECG-2609-0016 x1; SN-ECG-2609-0017 x1; SN-ECG-2609-0018 x1; SN-ECG-2609-0019 x1</t>
  </si>
  <si>
    <t xml:space="preserve">SN-AUT-2609-0003 x1; SN-AUT-2609-0004 x1; SN-AUT-2609-0005 x1; SN-AUT-2609-0006 x1</t>
  </si>
  <si>
    <t xml:space="preserve">NOLOT-SP-BAT-001 x36</t>
  </si>
  <si>
    <t xml:space="preserve">NOLOT-SP-SPO-001 x54</t>
  </si>
  <si>
    <t xml:space="preserve">LOT-FIL-2609C3 x86</t>
  </si>
  <si>
    <t xml:space="preserve">LOT-FIL-2609D4 x58</t>
  </si>
  <si>
    <t xml:space="preserve">Return No</t>
  </si>
  <si>
    <t xml:space="preserve">Return Type</t>
  </si>
  <si>
    <t xml:space="preserve">Partner</t>
  </si>
  <si>
    <t xml:space="preserve">Invoice / Bill Ref</t>
  </si>
  <si>
    <t xml:space="preserve">Lot / Serial</t>
  </si>
  <si>
    <t xml:space="preserve">Reason</t>
  </si>
  <si>
    <t xml:space="preserve">Via Warehouse</t>
  </si>
  <si>
    <t xml:space="preserve">Outcome</t>
  </si>
  <si>
    <t xml:space="preserve">Credit / Debit Note</t>
  </si>
  <si>
    <t xml:space="preserve">Note Date</t>
  </si>
  <si>
    <t xml:space="preserve">Note Net (EGP)</t>
  </si>
  <si>
    <t xml:space="preserve">Note VAT (EGP)</t>
  </si>
  <si>
    <t xml:space="preserve">Note Total (EGP)</t>
  </si>
  <si>
    <t xml:space="preserve">QRT/RET/0001</t>
  </si>
  <si>
    <t xml:space="preserve">Customer return</t>
  </si>
  <si>
    <t xml:space="preserve">LOT-SYR-2603A1</t>
  </si>
  <si>
    <t xml:space="preserve">Damaged in transit</t>
  </si>
  <si>
    <t xml:space="preserve">QRT</t>
  </si>
  <si>
    <t xml:space="preserve">Scrapped</t>
  </si>
  <si>
    <t xml:space="preserve">RINV/2026/00001</t>
  </si>
  <si>
    <t xml:space="preserve">QRT/RET/0002</t>
  </si>
  <si>
    <t xml:space="preserve">SN-INF-2603-0002</t>
  </si>
  <si>
    <t xml:space="preserve">Dead on arrival (DOA)</t>
  </si>
  <si>
    <t xml:space="preserve">RINV/2026/00002</t>
  </si>
  <si>
    <t xml:space="preserve">QRT/RET/0003</t>
  </si>
  <si>
    <t xml:space="preserve">NOLOT-SP-SPO-001</t>
  </si>
  <si>
    <t xml:space="preserve">RINV/2026/00003</t>
  </si>
  <si>
    <t xml:space="preserve">QRT/RET/0004</t>
  </si>
  <si>
    <t xml:space="preserve">LOT-ECE-2606C3</t>
  </si>
  <si>
    <t xml:space="preserve">RINV/2026/00004</t>
  </si>
  <si>
    <t xml:space="preserve">QRT/RET/0005</t>
  </si>
  <si>
    <t xml:space="preserve">LOT-FIL-2601B2</t>
  </si>
  <si>
    <t xml:space="preserve">Packaging breach</t>
  </si>
  <si>
    <t xml:space="preserve">RINV/2026/00005</t>
  </si>
  <si>
    <t xml:space="preserve">QRT/RET/0006</t>
  </si>
  <si>
    <t xml:space="preserve">LOT-IVS-2512A1</t>
  </si>
  <si>
    <t xml:space="preserve">RINV/2026/00006</t>
  </si>
  <si>
    <t xml:space="preserve">QRT/RET/0007</t>
  </si>
  <si>
    <t xml:space="preserve">LOT-TUB-2512A1</t>
  </si>
  <si>
    <t xml:space="preserve">Excess quantity / order change</t>
  </si>
  <si>
    <t xml:space="preserve">Restocked</t>
  </si>
  <si>
    <t xml:space="preserve">RINV/2026/00007</t>
  </si>
  <si>
    <t xml:space="preserve">QRT/RET/0008</t>
  </si>
  <si>
    <t xml:space="preserve">Wrong item delivered</t>
  </si>
  <si>
    <t xml:space="preserve">RINV/2026/00008</t>
  </si>
  <si>
    <t xml:space="preserve">QRT/RET/0009</t>
  </si>
  <si>
    <t xml:space="preserve">SN-USG-2603-0003</t>
  </si>
  <si>
    <t xml:space="preserve">RINV/2026/00009</t>
  </si>
  <si>
    <t xml:space="preserve">QRT/SRET/0001</t>
  </si>
  <si>
    <t xml:space="preserve">Supplier return</t>
  </si>
  <si>
    <t xml:space="preserve">SN-SUR-2606-0017</t>
  </si>
  <si>
    <t xml:space="preserve">Failed incoming inspection (QC)</t>
  </si>
  <si>
    <t xml:space="preserve">Returned to vendor</t>
  </si>
  <si>
    <t xml:space="preserve">RBILL/2026/00001</t>
  </si>
  <si>
    <t xml:space="preserve">QRT/SRET/0002</t>
  </si>
  <si>
    <t xml:space="preserve">LOT-SYR-2608E5</t>
  </si>
  <si>
    <t xml:space="preserve">RBILL/2026/00002</t>
  </si>
  <si>
    <t xml:space="preserve">Month Key</t>
  </si>
  <si>
    <t xml:space="preserve">Sales Net (EGP)</t>
  </si>
  <si>
    <t xml:space="preserve">Output VAT (EGP)</t>
  </si>
  <si>
    <t xml:space="preserve">Credit Notes Net (EGP)</t>
  </si>
  <si>
    <t xml:space="preserve">Net Sales (EGP)</t>
  </si>
  <si>
    <t xml:space="preserve">COGS (EGP, ledger)</t>
  </si>
  <si>
    <t xml:space="preserve">Gross Profit (EGP)</t>
  </si>
  <si>
    <t xml:space="preserve">Gross Margin %</t>
  </si>
  <si>
    <t xml:space="preserve">Purchases Net (EGP)</t>
  </si>
  <si>
    <t xml:space="preserve">Input VAT (EGP)</t>
  </si>
  <si>
    <t xml:space="preserve">Customer Receipts (EGP)</t>
  </si>
  <si>
    <t xml:space="preserve">Vendor Payments (EGP)</t>
  </si>
  <si>
    <t xml:space="preserve">Receivables at Month-end (EGP)</t>
  </si>
  <si>
    <t xml:space="preserve">Payables at Month-end (EGP)</t>
  </si>
  <si>
    <t xml:space="preserve">Inventory Value at Month-end (EGP, ledger)</t>
  </si>
  <si>
    <t xml:space="preserve">Sales Orders Created</t>
  </si>
  <si>
    <t xml:space="preserve">Purchase Orders Created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</si>
  <si>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</si>
  <si>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</si>
  <si>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</si>
  <si>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</si>
  <si>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</si>
  <si>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Five-month total</t>
  </si>
  <si>
    <t xml:space="preserve">Notes</t>
  </si>
  <si>
    <t xml:space="preserve">COGS and inventory value come from the simulated stock-valuation ledger (FIFO = constant vendor cost). Gross profit is stated before inventory write-offs (scrap, expiry, count adjustments), which are shown separately in the Transaction Reconciliation sheet.</t>
  </si>
  <si>
    <t xml:space="preserve">Receivables/payables at month-end are computed by formula from invoices, credit/debit notes and payments dated on or before month-end.</t>
  </si>
  <si>
    <t xml:space="preserve">Structural and arithmetic reconciliation of the simulated records</t>
  </si>
  <si>
    <t xml:space="preserve">Structural/mathematical validation only; it is not a functional test on a live Odoo server.</t>
  </si>
  <si>
    <t xml:space="preserve">Check ID</t>
  </si>
  <si>
    <t xml:space="preserve">Control</t>
  </si>
  <si>
    <t xml:space="preserve">Value A</t>
  </si>
  <si>
    <t xml:space="preserve">Value B (independent)</t>
  </si>
  <si>
    <t xml:space="preserve">Difference</t>
  </si>
  <si>
    <t xml:space="preserve">Result</t>
  </si>
  <si>
    <t xml:space="preserve">Comment</t>
  </si>
  <si>
    <t xml:space="preserve">C01</t>
  </si>
  <si>
    <t xml:space="preserve">Delivered qty on sales-order lines = qty on delivery records</t>
  </si>
  <si>
    <t xml:space="preserve">Quantities</t>
  </si>
  <si>
    <t xml:space="preserve">Order-to-delivery</t>
  </si>
  <si>
    <t xml:space="preserve">C02</t>
  </si>
  <si>
    <t xml:space="preserve">Invoiced qty &lt;= delivered qty (difference = delivered, invoice dated after period end)</t>
  </si>
  <si>
    <t xml:space="preserve">Delivery-to-invoice; a non-zero difference is documented below and is expected only for late-September deliveries</t>
  </si>
  <si>
    <t xml:space="preserve">C03</t>
  </si>
  <si>
    <t xml:space="preserve">Received qty on PO lines = qty on receipt records</t>
  </si>
  <si>
    <t xml:space="preserve">PO-to-receipt</t>
  </si>
  <si>
    <t xml:space="preserve">C04</t>
  </si>
  <si>
    <t xml:space="preserve">Invoice totals = Net + VAT (sum of table A)</t>
  </si>
  <si>
    <t xml:space="preserve">EGP</t>
  </si>
  <si>
    <t xml:space="preserve">Arithmetic</t>
  </si>
  <si>
    <t xml:space="preserve">C05</t>
  </si>
  <si>
    <t xml:space="preserve">Invoiced net = sum of invoiced qty × unit price on SO lines</t>
  </si>
  <si>
    <t xml:space="preserve">Invoice-to-order pricing</t>
  </si>
  <si>
    <t xml:space="preserve">C06</t>
  </si>
  <si>
    <t xml:space="preserve">Invoices − credit notes − receipts = customer balances (sum of invoice balances)</t>
  </si>
  <si>
    <t xml:space="preserve">Receivable roll-forward</t>
  </si>
  <si>
    <t xml:space="preserve">C07</t>
  </si>
  <si>
    <t xml:space="preserve">Receivables per sub-ledger = receivable control account 120100 (ledger)</t>
  </si>
  <si>
    <t xml:space="preserve">Sub-ledger to GL</t>
  </si>
  <si>
    <t xml:space="preserve">C08</t>
  </si>
  <si>
    <t xml:space="preserve">Vendor bills − debit notes − payments = payable balances</t>
  </si>
  <si>
    <t xml:space="preserve">Payable roll-forward</t>
  </si>
  <si>
    <t xml:space="preserve">C09</t>
  </si>
  <si>
    <t xml:space="preserve">Payables per sub-ledger = payable control account 210100 (ledger, credit shown positive)</t>
  </si>
  <si>
    <t xml:space="preserve">C10</t>
  </si>
  <si>
    <t xml:space="preserve">Output VAT on invoices − credit notes = VAT output account 220100 (credit shown positive)</t>
  </si>
  <si>
    <t xml:space="preserve">Tax</t>
  </si>
  <si>
    <t xml:space="preserve">C11</t>
  </si>
  <si>
    <t xml:space="preserve">Input VAT on bills − debit notes = VAT input account 140300</t>
  </si>
  <si>
    <t xml:space="preserve">C12</t>
  </si>
  <si>
    <t xml:space="preserve">Credit limits: customers whose peak exposure exceeded their limit (count)</t>
  </si>
  <si>
    <t xml:space="preserve">Count</t>
  </si>
  <si>
    <t xml:space="preserve">Credit-limited customers only (cash retail excluded); limits set at 130% of simulated peak exposure, rounded up</t>
  </si>
  <si>
    <t xml:space="preserve">C13</t>
  </si>
  <si>
    <t xml:space="preserve">Won CRM opportunities = non-retail sales orders (count)</t>
  </si>
  <si>
    <t xml:space="preserve">CRM-to-sales link; retail counter sales do not use the pipeline</t>
  </si>
  <si>
    <t xml:space="preserve">C14</t>
  </si>
  <si>
    <t xml:space="preserve">Linked sales orders of won opportunities exist in Sales Orders (count)</t>
  </si>
  <si>
    <t xml:space="preserve">Referential integrity</t>
  </si>
  <si>
    <t xml:space="preserve">Documents dated after the period end (not posted in the five-month records)</t>
  </si>
  <si>
    <t xml:space="preserve">Item</t>
  </si>
  <si>
    <t xml:space="preserve">Reference</t>
  </si>
  <si>
    <t xml:space="preserve">Document Date</t>
  </si>
  <si>
    <t xml:space="preserve">Amount incl. VAT (EGP)</t>
  </si>
  <si>
    <t xml:space="preserve">Treatment</t>
  </si>
  <si>
    <t xml:space="preserve">Customer invoice (delivered 2026-09-30)</t>
  </si>
  <si>
    <t xml:space="preserve">Delivered within the period; invoice dated after period end - recorded as delivered-not-invoiced</t>
  </si>
  <si>
    <t xml:space="preserve">Customer invoice (delivered 2026-09-29)</t>
  </si>
  <si>
    <t xml:space="preserve">Ledger cross-checks (static values from the simulated journal model)</t>
  </si>
  <si>
    <t xml:space="preserve">Ledger measure</t>
  </si>
  <si>
    <t xml:space="preserve">Net sales (410100+410200+410300+420100)</t>
  </si>
  <si>
    <t xml:space="preserve">COGS (510100+510200+510300)</t>
  </si>
  <si>
    <t xml:space="preserve">Inventory shrinkage and count adjustments (540100)</t>
  </si>
  <si>
    <t xml:space="preserve">Expired inventory loss (540200)</t>
  </si>
  <si>
    <t xml:space="preserve">Damaged goods loss (540300)</t>
  </si>
  <si>
    <t xml:space="preserve">Inventory at 30-Sep-2026 (130100+130200+130300)</t>
  </si>
  <si>
    <t xml:space="preserve">Goods received not invoiced (210500, credit shown positive)</t>
  </si>
  <si>
    <t xml:space="preserve">Stock interim delivered (130600)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</si>
</sst>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%"/>
    <numFmt numFmtId="167" formatCode="0.0%"/>
    <numFmt numFmtId="168" formatCode="yyyy\-mm\-dd"/>
    <numFmt numFmtId="16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C8102E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DC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DC26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ills" displayName="tblBills" ref="A3:P31" headerRowCount="1" totalsRowCount="0" totalsRowShown="0">
  <autoFilter ref="A3:P31"/>
  <tableColumns count="16">
    <tableColumn id="1" name="Bill No"/>
    <tableColumn id="2" name="Bill Date"/>
    <tableColumn id="3" name="Month"/>
    <tableColumn id="4" name="Vendor ID"/>
    <tableColumn id="5" name="Vendor"/>
    <tableColumn id="6" name="Purchase Order"/>
    <tableColumn id="7" name="Receipt"/>
    <tableColumn id="8" name="Vendor Reference"/>
    <tableColumn id="9" name="Net (EGP)"/>
    <tableColumn id="10" name="VAT (EGP)"/>
    <tableColumn id="11" name="Total (EGP)"/>
    <tableColumn id="12" name="Due Date"/>
    <tableColumn id="13" name="Debit Notes (EGP)"/>
    <tableColumn id="14" name="Payments Applied (EGP)"/>
    <tableColumn id="15" name="Balance 30-Sep-2026 (EGP)"/>
    <tableColumn id="16" name="Payment Status"/>
  </tableColumns>
</table>
</file>

<file path=xl/tables/table2.xml><?xml version="1.0" encoding="utf-8"?>
<table xmlns="http://schemas.openxmlformats.org/spreadsheetml/2006/main" id="2" name="tblCRM" displayName="tblCRM" ref="A3:Q89" headerRowCount="1" totalsRowCount="0" totalsRowShown="0">
  <autoFilter ref="A3:Q89"/>
  <tableColumns count="17">
    <tableColumn id="1" name="Opportunity ID"/>
    <tableColumn id="2" name="Opportunity"/>
    <tableColumn id="3" name="Customer ID"/>
    <tableColumn id="4" name="Customer"/>
    <tableColumn id="5" name="Sales Team (branch)"/>
    <tableColumn id="6" name="Salesperson"/>
    <tableColumn id="7" name="Lead Source"/>
    <tableColumn id="8" name="Stage"/>
    <tableColumn id="9" name="Probability %"/>
    <tableColumn id="10" name="Expected Revenue (EGP, ex-VAT)"/>
    <tableColumn id="11" name="Weighted Revenue (EGP)"/>
    <tableColumn id="12" name="Created"/>
    <tableColumn id="13" name="Closed / Expected Close"/>
    <tableColumn id="14" name="Lost Reason"/>
    <tableColumn id="15" name="Linked SO"/>
    <tableColumn id="16" name="Linked SO Ordered Net (EGP)"/>
    <tableColumn id="17" name="Variance to SO (EGP)"/>
  </tableColumns>
</table>
</file>

<file path=xl/tables/table3.xml><?xml version="1.0" encoding="utf-8"?>
<table xmlns="http://schemas.openxmlformats.org/spreadsheetml/2006/main" id="3" name="tblCRMStages" displayName="tblCRMStages" ref="A91:E98" headerRowCount="1" totalsRowCount="0" totalsRowShown="0">
  <autoFilter ref="A91:E98"/>
  <tableColumns count="5">
    <tableColumn id="1" name="Stage"/>
    <tableColumn id="2" name="Probability %"/>
    <tableColumn id="3" name="Opportunities"/>
    <tableColumn id="4" name="Expected Revenue (EGP)"/>
    <tableColumn id="5" name="Weighted Revenue (EGP)"/>
  </tableColumns>
</table>
</file>

<file path=xl/tables/table4.xml><?xml version="1.0" encoding="utf-8"?>
<table xmlns="http://schemas.openxmlformats.org/spreadsheetml/2006/main" id="4" name="tblCustomers" displayName="tblCustomers" ref="A1:O14" headerRowCount="1" totalsRowCount="0" totalsRowShown="0">
  <autoFilter ref="A1:O14"/>
  <tableColumns count="15">
    <tableColumn id="1" name="Customer ID"/>
    <tableColumn id="2" name="Name (EN)"/>
    <tableColumn id="3" name="الاسم (AR)"/>
    <tableColumn id="4" name="Classification"/>
    <tableColumn id="5" name="City"/>
    <tableColumn id="6" name="Address (illustrative)"/>
    <tableColumn id="7" name="Contact Role"/>
    <tableColumn id="8" name="Payment Terms (days)"/>
    <tableColumn id="9" name="Credit Limit (EGP)"/>
    <tableColumn id="10" name="Tax ID (placeholder)"/>
    <tableColumn id="11" name="Responsible Branch"/>
    <tableColumn id="12" name="Contract Discount"/>
    <tableColumn id="13" name="Peak Receivable Exposure (EGP, simulated)"/>
    <tableColumn id="14" name="Balance 30-Sep-2026 (EGP)"/>
    <tableColumn id="15" name="Credit Utilisation"/>
  </tableColumns>
</table>
</file>

<file path=xl/tables/table5.xml><?xml version="1.0" encoding="utf-8"?>
<table xmlns="http://schemas.openxmlformats.org/spreadsheetml/2006/main" id="5" name="tblDeliveryReceipt" displayName="tblDeliveryReceipt" ref="A1:L231" headerRowCount="1" totalsRowCount="0" totalsRowShown="0">
  <autoFilter ref="A1:L231"/>
  <tableColumns count="12">
    <tableColumn id="1" name="Document No"/>
    <tableColumn id="2" name="Type"/>
    <tableColumn id="3" name="Date"/>
    <tableColumn id="4" name="Warehouse"/>
    <tableColumn id="5" name="Order Ref"/>
    <tableColumn id="6" name="Partner ID"/>
    <tableColumn id="7" name="Product Ref"/>
    <tableColumn id="8" name="Product"/>
    <tableColumn id="9" name="Qty"/>
    <tableColumn id="10" name="UoM"/>
    <tableColumn id="11" name="Lots / Serials"/>
    <tableColumn id="12" name="Invoice / Bill"/>
  </tableColumns>
</table>
</file>

<file path=xl/tables/table6.xml><?xml version="1.0" encoding="utf-8"?>
<table xmlns="http://schemas.openxmlformats.org/spreadsheetml/2006/main" id="6" name="tblInvoices" displayName="tblInvoices" ref="A3:O85" headerRowCount="1" totalsRowCount="0" totalsRowShown="0">
  <autoFilter ref="A3:O85"/>
  <tableColumns count="15">
    <tableColumn id="1" name="Invoice No"/>
    <tableColumn id="2" name="Invoice Date"/>
    <tableColumn id="3" name="Month"/>
    <tableColumn id="4" name="Customer ID"/>
    <tableColumn id="5" name="Customer"/>
    <tableColumn id="6" name="Sales Order"/>
    <tableColumn id="7" name="Net (EGP)"/>
    <tableColumn id="8" name="VAT (EGP)"/>
    <tableColumn id="9" name="Total (EGP)"/>
    <tableColumn id="10" name="Due Date"/>
    <tableColumn id="11" name="Credit Notes (EGP)"/>
    <tableColumn id="12" name="Payments Applied (EGP)"/>
    <tableColumn id="13" name="Balance 30-Sep-2026 (EGP)"/>
    <tableColumn id="14" name="Payment Status"/>
    <tableColumn id="15" name="Days Overdue"/>
  </tableColumns>
</table>
</file>

<file path=xl/tables/table7.xml><?xml version="1.0" encoding="utf-8"?>
<table xmlns="http://schemas.openxmlformats.org/spreadsheetml/2006/main" id="7" name="tblLate" displayName="tblLate" ref="A21:E23" headerRowCount="1" totalsRowCount="0" totalsRowShown="0">
  <autoFilter ref="A21:E23"/>
  <tableColumns count="5">
    <tableColumn id="1" name="Item"/>
    <tableColumn id="2" name="Reference"/>
    <tableColumn id="3" name="Document Date"/>
    <tableColumn id="4" name="Amount incl. VAT (EGP)"/>
    <tableColumn id="5" name="Treatment"/>
  </tableColumns>
</table>
</file>

<file path=xl/tables/table8.xml><?xml version="1.0" encoding="utf-8"?>
<table xmlns="http://schemas.openxmlformats.org/spreadsheetml/2006/main" id="8" name="tblLedger" displayName="tblLedger" ref="A28:B36" headerRowCount="1" totalsRowCount="0" totalsRowShown="0">
  <autoFilter ref="A28:B36"/>
  <tableColumns count="2">
    <tableColumn id="1" name="Ledger measure"/>
    <tableColumn id="2" name="Amount (EGP)"/>
  </tableColumns>
</table>
</file>

<file path=xl/tables/table9.xml><?xml version="1.0" encoding="utf-8"?>
<table xmlns="http://schemas.openxmlformats.org/spreadsheetml/2006/main" id="9" name="tblMonthly" displayName="tblMonthly" ref="A1:R6" headerRowCount="1" totalsRowCount="0" totalsRowShown="0">
  <autoFilter ref="A1:R6"/>
  <tableColumns count="18">
    <tableColumn id="1" name="Month Key"/>
    <tableColumn id="2" name="Month"/>
    <tableColumn id="3" name="Sales Net (EGP)"/>
    <tableColumn id="4" name="Output VAT (EGP)"/>
    <tableColumn id="5" name="Credit Notes Net (EGP)"/>
    <tableColumn id="6" name="Net Sales (EGP)"/>
    <tableColumn id="7" name="COGS (EGP, ledger)"/>
    <tableColumn id="8" name="Gross Profit (EGP)"/>
    <tableColumn id="9" name="Gross Margin %"/>
    <tableColumn id="10" name="Purchases Net (EGP)"/>
    <tableColumn id="11" name="Input VAT (EGP)"/>
    <tableColumn id="12" name="Customer Receipts (EGP)"/>
    <tableColumn id="13" name="Vendor Payments (EGP)"/>
    <tableColumn id="14" name="Receivables at Month-end (EGP)"/>
    <tableColumn id="15" name="Payables at Month-end (EGP)"/>
    <tableColumn id="16" name="Inventory Value at Month-end (EGP, ledger)"/>
    <tableColumn id="17" name="Sales Orders Created"/>
    <tableColumn id="18" name="Purchase Orders Created"/>
  </tableColumns>
</table>
</file>

<file path=xl/tables/table10.xml><?xml version="1.0" encoding="utf-8"?>
<table xmlns="http://schemas.openxmlformats.org/spreadsheetml/2006/main" id="10" name="tblPO" displayName="tblPO" ref="A1:K28" headerRowCount="1" totalsRowCount="0" totalsRowShown="0">
  <autoFilter ref="A1:K28"/>
  <tableColumns count="11">
    <tableColumn id="1" name="PO No"/>
    <tableColumn id="2" name="Order Date"/>
    <tableColumn id="3" name="Month"/>
    <tableColumn id="4" name="Vendor ID"/>
    <tableColumn id="5" name="Vendor"/>
    <tableColumn id="6" name="Receiving Warehouse"/>
    <tableColumn id="7" name="Expected Date"/>
    <tableColumn id="8" name="Status (30-Sep-2026)"/>
    <tableColumn id="9" name="Receipts"/>
    <tableColumn id="10" name="Vendor Bills"/>
    <tableColumn id="11" name="Origin"/>
  </tableColumns>
</table>
</file>

<file path=xl/tables/table11.xml><?xml version="1.0" encoding="utf-8"?>
<table xmlns="http://schemas.openxmlformats.org/spreadsheetml/2006/main" id="11" name="tblPOL" displayName="tblPOL" ref="A1:K31" headerRowCount="1" totalsRowCount="0" totalsRowShown="0">
  <autoFilter ref="A1:K31"/>
  <tableColumns count="11">
    <tableColumn id="1" name="PO No"/>
    <tableColumn id="2" name="Line"/>
    <tableColumn id="3" name="Product Ref"/>
    <tableColumn id="4" name="Product"/>
    <tableColumn id="5" name="Ordered Qty"/>
    <tableColumn id="6" name="Received Qty"/>
    <tableColumn id="7" name="UoM"/>
    <tableColumn id="8" name="Unit Cost (EGP, ex-VAT)"/>
    <tableColumn id="9" name="Open Qty"/>
    <tableColumn id="10" name="Received Value (EGP)"/>
    <tableColumn id="11" name="Ordered Value (EGP)"/>
  </tableColumns>
</table>
</file>

<file path=xl/tables/table12.xml><?xml version="1.0" encoding="utf-8"?>
<table xmlns="http://schemas.openxmlformats.org/spreadsheetml/2006/main" id="12" name="tblReceipts" displayName="tblReceipts" ref="A90:I152" headerRowCount="1" totalsRowCount="0" totalsRowShown="0">
  <autoFilter ref="A90:I152"/>
  <tableColumns count="9">
    <tableColumn id="1" name="Payment No"/>
    <tableColumn id="2" name="Payment Date"/>
    <tableColumn id="3" name="Customer ID (placeholder)"/>
    <tableColumn id="4" name="Applied to Invoice"/>
    <tableColumn id="5" name="Customer"/>
    <tableColumn id="6" name="Amount (EGP)"/>
    <tableColumn id="7" name="Method"/>
    <tableColumn id="8" name="Journal"/>
    <tableColumn id="9" name="Month"/>
  </tableColumns>
</table>
</file>

<file path=xl/tables/table13.xml><?xml version="1.0" encoding="utf-8"?>
<table xmlns="http://schemas.openxmlformats.org/spreadsheetml/2006/main" id="13" name="tblRecon" displayName="tblRecon" ref="A3:H17" headerRowCount="1" totalsRowCount="0" totalsRowShown="0">
  <autoFilter ref="A3:H17"/>
  <tableColumns count="8">
    <tableColumn id="1" name="Check ID"/>
    <tableColumn id="2" name="Control"/>
    <tableColumn id="3" name="Value A"/>
    <tableColumn id="4" name="Value B (independent)"/>
    <tableColumn id="5" name="Difference"/>
    <tableColumn id="6" name="Result"/>
    <tableColumn id="7" name="Unit"/>
    <tableColumn id="8" name="Comment"/>
  </tableColumns>
</table>
</file>

<file path=xl/tables/table14.xml><?xml version="1.0" encoding="utf-8"?>
<table xmlns="http://schemas.openxmlformats.org/spreadsheetml/2006/main" id="14" name="tblReturns" displayName="tblReturns" ref="A1:S12" headerRowCount="1" totalsRowCount="0" totalsRowShown="0">
  <autoFilter ref="A1:S12"/>
  <tableColumns count="19">
    <tableColumn id="1" name="Return No"/>
    <tableColumn id="2" name="Return Type"/>
    <tableColumn id="3" name="Date"/>
    <tableColumn id="4" name="Partner ID"/>
    <tableColumn id="5" name="Partner"/>
    <tableColumn id="6" name="Order Ref"/>
    <tableColumn id="7" name="Invoice / Bill Ref"/>
    <tableColumn id="8" name="Product Ref"/>
    <tableColumn id="9" name="Product"/>
    <tableColumn id="10" name="Lot / Serial"/>
    <tableColumn id="11" name="Qty"/>
    <tableColumn id="12" name="Reason"/>
    <tableColumn id="13" name="Via Warehouse"/>
    <tableColumn id="14" name="Outcome"/>
    <tableColumn id="15" name="Credit / Debit Note"/>
    <tableColumn id="16" name="Note Date"/>
    <tableColumn id="17" name="Note Net (EGP)"/>
    <tableColumn id="18" name="Note VAT (EGP)"/>
    <tableColumn id="19" name="Note Total (EGP)"/>
  </tableColumns>
</table>
</file>

<file path=xl/tables/table15.xml><?xml version="1.0" encoding="utf-8"?>
<table xmlns="http://schemas.openxmlformats.org/spreadsheetml/2006/main" id="15" name="tblSO" displayName="tblSO" ref="A1:J88" headerRowCount="1" totalsRowCount="0" totalsRowShown="0">
  <autoFilter ref="A1:J88"/>
  <tableColumns count="10">
    <tableColumn id="1" name="SO No"/>
    <tableColumn id="2" name="Order Date"/>
    <tableColumn id="3" name="Month"/>
    <tableColumn id="4" name="Customer ID"/>
    <tableColumn id="5" name="Customer"/>
    <tableColumn id="6" name="Branch"/>
    <tableColumn id="7" name="Payment Terms (days)"/>
    <tableColumn id="8" name="Status (30-Sep-2026)"/>
    <tableColumn id="9" name="Delivery Orders"/>
    <tableColumn id="10" name="Customer Invoice"/>
  </tableColumns>
</table>
</file>

<file path=xl/tables/table16.xml><?xml version="1.0" encoding="utf-8"?>
<table xmlns="http://schemas.openxmlformats.org/spreadsheetml/2006/main" id="16" name="tblSOL" displayName="tblSOL" ref="A1:L207" headerRowCount="1" totalsRowCount="0" totalsRowShown="0">
  <autoFilter ref="A1:L207"/>
  <tableColumns count="12">
    <tableColumn id="1" name="SO No"/>
    <tableColumn id="2" name="Line"/>
    <tableColumn id="3" name="Product Ref"/>
    <tableColumn id="4" name="Product"/>
    <tableColumn id="5" name="Ordered Qty"/>
    <tableColumn id="6" name="Delivered Qty"/>
    <tableColumn id="7" name="Invoiced Qty"/>
    <tableColumn id="8" name="UoM"/>
    <tableColumn id="9" name="Unit Price (EGP, ex-VAT)"/>
    <tableColumn id="10" name="Backorder Qty"/>
    <tableColumn id="11" name="Delivered Net (EGP)"/>
    <tableColumn id="12" name="Ordered Net (EGP)"/>
  </tableColumns>
</table>
</file>

<file path=xl/tables/table17.xml><?xml version="1.0" encoding="utf-8"?>
<table xmlns="http://schemas.openxmlformats.org/spreadsheetml/2006/main" id="17" name="tblVendorPayments" displayName="tblVendorPayments" ref="A36:I54" headerRowCount="1" totalsRowCount="0" totalsRowShown="0">
  <autoFilter ref="A36:I54"/>
  <tableColumns count="9">
    <tableColumn id="1" name="Payment No"/>
    <tableColumn id="2" name="Payment Date"/>
    <tableColumn id="3" name="Vendor ID"/>
    <tableColumn id="4" name="Applied to Bill"/>
    <tableColumn id="5" name="Vendor"/>
    <tableColumn id="6" name="Amount (EGP)"/>
    <tableColumn id="7" name="Method"/>
    <tableColumn id="8" name="Journal"/>
    <tableColumn id="9" name="Month"/>
  </tableColumns>
</table>
</file>

<file path=xl/tables/table18.xml><?xml version="1.0" encoding="utf-8"?>
<table xmlns="http://schemas.openxmlformats.org/spreadsheetml/2006/main" id="18" name="tblVendors" displayName="tblVendors" ref="A1:L7" headerRowCount="1" totalsRowCount="0" totalsRowShown="0">
  <autoFilter ref="A1:L7"/>
  <tableColumns count="12">
    <tableColumn id="1" name="Vendor ID"/>
    <tableColumn id="2" name="Name (EN)"/>
    <tableColumn id="3" name="الاسم (AR)"/>
    <tableColumn id="4" name="Classification"/>
    <tableColumn id="5" name="City / Country"/>
    <tableColumn id="6" name="Address (illustrative)"/>
    <tableColumn id="7" name="Contact Role"/>
    <tableColumn id="8" name="Payment Terms (days)"/>
    <tableColumn id="9" name="Tax ID (placeholder)"/>
    <tableColumn id="10" name="Paying Bank"/>
    <tableColumn id="11" name="Verified Authorized Distributor?"/>
    <tableColumn id="12" name="Payable Balance 30-Sep-2026 (EGP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1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Relationship Id="rId3" Type="http://schemas.openxmlformats.org/officeDocument/2006/relationships/table" Target="../tables/table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35.0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35.0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7" min="7" style="0" width="29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3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43"/>
    <col collapsed="false" customWidth="true" hidden="false" outlineLevel="0" max="14" min="14" style="0" width="27"/>
    <col collapsed="false" customWidth="true" hidden="false" outlineLevel="0" max="15" min="15" style="0" width="20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</row>
    <row r="2" customFormat="false" ht="15" hidden="false" customHeight="false" outlineLevel="0" collapsed="false">
      <c r="A2" s="5" t="s">
        <v>38</v>
      </c>
      <c r="B2" s="5" t="s">
        <v>39</v>
      </c>
      <c r="C2" s="6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n">
        <v>30</v>
      </c>
      <c r="I2" s="7" t="n">
        <v>1000000</v>
      </c>
      <c r="J2" s="5" t="s">
        <v>45</v>
      </c>
      <c r="K2" s="5" t="s">
        <v>46</v>
      </c>
      <c r="L2" s="8" t="n">
        <v>0.03</v>
      </c>
      <c r="M2" s="7" t="n">
        <v>497516.01</v>
      </c>
      <c r="N2" s="7" t="n">
        <f aca="false">SUMIFS('Customer Invoices and Payments'!$I$4:$I$85,'Customer Invoices and Payments'!$D$4:$D$85,A2)-SUMIFS('Customer and Supplier Returns'!$S$2:$S$12,'Customer and Supplier Returns'!$D$2:$D$12,A2,'Customer and Supplier Returns'!$B$2:$B$12,"Customer return")-SUMIFS('Customer Invoices and Payments'!$F$91:$F$152,'Customer Invoices and Payments'!$C$91:$C$152,A2)</f>
        <v>124081.82</v>
      </c>
      <c r="O2" s="9" t="n">
        <f aca="false">IF(I2=0,"n/a (cash)",N2/I2)</f>
        <v>0.12408182</v>
      </c>
    </row>
    <row r="3" customFormat="false" ht="15" hidden="false" customHeight="false" outlineLevel="0" collapsed="false">
      <c r="A3" s="5" t="s">
        <v>47</v>
      </c>
      <c r="B3" s="5" t="s">
        <v>48</v>
      </c>
      <c r="C3" s="6" t="s">
        <v>49</v>
      </c>
      <c r="D3" s="5" t="s">
        <v>41</v>
      </c>
      <c r="E3" s="5" t="s">
        <v>50</v>
      </c>
      <c r="F3" s="5" t="s">
        <v>51</v>
      </c>
      <c r="G3" s="5" t="s">
        <v>52</v>
      </c>
      <c r="H3" s="5" t="n">
        <v>45</v>
      </c>
      <c r="I3" s="7" t="n">
        <v>2000000</v>
      </c>
      <c r="J3" s="5" t="s">
        <v>53</v>
      </c>
      <c r="K3" s="5" t="s">
        <v>54</v>
      </c>
      <c r="L3" s="8" t="n">
        <v>0.03</v>
      </c>
      <c r="M3" s="7" t="n">
        <v>1318074.9</v>
      </c>
      <c r="N3" s="7" t="n">
        <f aca="false">SUMIFS('Customer Invoices and Payments'!$I$4:$I$85,'Customer Invoices and Payments'!$D$4:$D$85,A3)-SUMIFS('Customer and Supplier Returns'!$S$2:$S$12,'Customer and Supplier Returns'!$D$2:$D$12,A3,'Customer and Supplier Returns'!$B$2:$B$12,"Customer return")-SUMIFS('Customer Invoices and Payments'!$F$91:$F$152,'Customer Invoices and Payments'!$C$91:$C$152,A3)</f>
        <v>394731.9</v>
      </c>
      <c r="O3" s="9" t="n">
        <f aca="false">IF(I3=0,"n/a (cash)",N3/I3)</f>
        <v>0.19736595</v>
      </c>
    </row>
    <row r="4" customFormat="false" ht="15" hidden="false" customHeight="false" outlineLevel="0" collapsed="false">
      <c r="A4" s="5" t="s">
        <v>55</v>
      </c>
      <c r="B4" s="5" t="s">
        <v>56</v>
      </c>
      <c r="C4" s="6" t="s">
        <v>57</v>
      </c>
      <c r="D4" s="5" t="s">
        <v>41</v>
      </c>
      <c r="E4" s="5" t="s">
        <v>58</v>
      </c>
      <c r="F4" s="5" t="s">
        <v>59</v>
      </c>
      <c r="G4" s="5" t="s">
        <v>60</v>
      </c>
      <c r="H4" s="5" t="n">
        <v>45</v>
      </c>
      <c r="I4" s="7" t="n">
        <v>1000000</v>
      </c>
      <c r="J4" s="5" t="s">
        <v>61</v>
      </c>
      <c r="K4" s="5" t="s">
        <v>54</v>
      </c>
      <c r="L4" s="8" t="n">
        <v>0.02</v>
      </c>
      <c r="M4" s="7" t="n">
        <v>599612.41</v>
      </c>
      <c r="N4" s="7" t="n">
        <f aca="false">SUMIFS('Customer Invoices and Payments'!$I$4:$I$85,'Customer Invoices and Payments'!$D$4:$D$85,A4)-SUMIFS('Customer and Supplier Returns'!$S$2:$S$12,'Customer and Supplier Returns'!$D$2:$D$12,A4,'Customer and Supplier Returns'!$B$2:$B$12,"Customer return")-SUMIFS('Customer Invoices and Payments'!$F$91:$F$152,'Customer Invoices and Payments'!$C$91:$C$152,A4)</f>
        <v>375535.61</v>
      </c>
      <c r="O4" s="9" t="n">
        <f aca="false">IF(I4=0,"n/a (cash)",N4/I4)</f>
        <v>0.37553561</v>
      </c>
    </row>
    <row r="5" customFormat="false" ht="15" hidden="false" customHeight="false" outlineLevel="0" collapsed="false">
      <c r="A5" s="5" t="s">
        <v>62</v>
      </c>
      <c r="B5" s="5" t="s">
        <v>63</v>
      </c>
      <c r="C5" s="6" t="s">
        <v>64</v>
      </c>
      <c r="D5" s="5" t="s">
        <v>41</v>
      </c>
      <c r="E5" s="5" t="s">
        <v>65</v>
      </c>
      <c r="F5" s="5" t="s">
        <v>66</v>
      </c>
      <c r="G5" s="5" t="s">
        <v>67</v>
      </c>
      <c r="H5" s="5" t="n">
        <v>30</v>
      </c>
      <c r="I5" s="7" t="n">
        <v>1000000</v>
      </c>
      <c r="J5" s="5" t="s">
        <v>68</v>
      </c>
      <c r="K5" s="5" t="s">
        <v>54</v>
      </c>
      <c r="L5" s="8" t="n">
        <v>0.03</v>
      </c>
      <c r="M5" s="7" t="n">
        <v>506351.35</v>
      </c>
      <c r="N5" s="7" t="n">
        <f aca="false">SUMIFS('Customer Invoices and Payments'!$I$4:$I$85,'Customer Invoices and Payments'!$D$4:$D$85,A5)-SUMIFS('Customer and Supplier Returns'!$S$2:$S$12,'Customer and Supplier Returns'!$D$2:$D$12,A5,'Customer and Supplier Returns'!$B$2:$B$12,"Customer return")-SUMIFS('Customer Invoices and Payments'!$F$91:$F$152,'Customer Invoices and Payments'!$C$91:$C$152,A5)</f>
        <v>373141.15</v>
      </c>
      <c r="O5" s="9" t="n">
        <f aca="false">IF(I5=0,"n/a (cash)",N5/I5)</f>
        <v>0.37314115</v>
      </c>
    </row>
    <row r="6" customFormat="false" ht="15" hidden="false" customHeight="false" outlineLevel="0" collapsed="false">
      <c r="A6" s="5" t="s">
        <v>69</v>
      </c>
      <c r="B6" s="5" t="s">
        <v>70</v>
      </c>
      <c r="C6" s="6" t="s">
        <v>71</v>
      </c>
      <c r="D6" s="5" t="s">
        <v>72</v>
      </c>
      <c r="E6" s="5" t="s">
        <v>42</v>
      </c>
      <c r="F6" s="5" t="s">
        <v>73</v>
      </c>
      <c r="G6" s="5" t="s">
        <v>74</v>
      </c>
      <c r="H6" s="5" t="n">
        <v>15</v>
      </c>
      <c r="I6" s="7" t="n">
        <v>500000</v>
      </c>
      <c r="J6" s="5" t="s">
        <v>75</v>
      </c>
      <c r="K6" s="5" t="s">
        <v>46</v>
      </c>
      <c r="L6" s="8" t="n">
        <v>0</v>
      </c>
      <c r="M6" s="7" t="n">
        <v>234498</v>
      </c>
      <c r="N6" s="7" t="n">
        <f aca="false">SUMIFS('Customer Invoices and Payments'!$I$4:$I$85,'Customer Invoices and Payments'!$D$4:$D$85,A6)-SUMIFS('Customer and Supplier Returns'!$S$2:$S$12,'Customer and Supplier Returns'!$D$2:$D$12,A6,'Customer and Supplier Returns'!$B$2:$B$12,"Customer return")-SUMIFS('Customer Invoices and Payments'!$F$91:$F$152,'Customer Invoices and Payments'!$C$91:$C$152,A6)</f>
        <v>63966.54</v>
      </c>
      <c r="O6" s="9" t="n">
        <f aca="false">IF(I6=0,"n/a (cash)",N6/I6)</f>
        <v>0.12793308</v>
      </c>
    </row>
    <row r="7" customFormat="false" ht="15" hidden="false" customHeight="false" outlineLevel="0" collapsed="false">
      <c r="A7" s="5" t="s">
        <v>76</v>
      </c>
      <c r="B7" s="5" t="s">
        <v>77</v>
      </c>
      <c r="C7" s="6" t="s">
        <v>78</v>
      </c>
      <c r="D7" s="5" t="s">
        <v>79</v>
      </c>
      <c r="E7" s="5" t="s">
        <v>42</v>
      </c>
      <c r="F7" s="5" t="s">
        <v>80</v>
      </c>
      <c r="G7" s="5" t="s">
        <v>81</v>
      </c>
      <c r="H7" s="5" t="n">
        <v>30</v>
      </c>
      <c r="I7" s="7" t="n">
        <v>500000</v>
      </c>
      <c r="J7" s="5" t="s">
        <v>82</v>
      </c>
      <c r="K7" s="5" t="s">
        <v>46</v>
      </c>
      <c r="L7" s="8" t="n">
        <v>0.02</v>
      </c>
      <c r="M7" s="7" t="n">
        <v>219999.02</v>
      </c>
      <c r="N7" s="7" t="n">
        <f aca="false">SUMIFS('Customer Invoices and Payments'!$I$4:$I$85,'Customer Invoices and Payments'!$D$4:$D$85,A7)-SUMIFS('Customer and Supplier Returns'!$S$2:$S$12,'Customer and Supplier Returns'!$D$2:$D$12,A7,'Customer and Supplier Returns'!$B$2:$B$12,"Customer return")-SUMIFS('Customer Invoices and Payments'!$F$91:$F$152,'Customer Invoices and Payments'!$C$91:$C$152,A7)</f>
        <v>0</v>
      </c>
      <c r="O7" s="9" t="n">
        <f aca="false">IF(I7=0,"n/a (cash)",N7/I7)</f>
        <v>0</v>
      </c>
    </row>
    <row r="8" customFormat="false" ht="15" hidden="false" customHeight="false" outlineLevel="0" collapsed="false">
      <c r="A8" s="5" t="s">
        <v>83</v>
      </c>
      <c r="B8" s="5" t="s">
        <v>84</v>
      </c>
      <c r="C8" s="6" t="s">
        <v>85</v>
      </c>
      <c r="D8" s="5" t="s">
        <v>86</v>
      </c>
      <c r="E8" s="5" t="s">
        <v>50</v>
      </c>
      <c r="F8" s="5" t="s">
        <v>87</v>
      </c>
      <c r="G8" s="5" t="s">
        <v>88</v>
      </c>
      <c r="H8" s="5" t="n">
        <v>60</v>
      </c>
      <c r="I8" s="7" t="n">
        <v>35000000</v>
      </c>
      <c r="J8" s="5" t="s">
        <v>89</v>
      </c>
      <c r="K8" s="5" t="s">
        <v>54</v>
      </c>
      <c r="L8" s="8" t="n">
        <v>0</v>
      </c>
      <c r="M8" s="7" t="n">
        <v>26640331.68</v>
      </c>
      <c r="N8" s="7" t="n">
        <f aca="false">SUMIFS('Customer Invoices and Payments'!$I$4:$I$85,'Customer Invoices and Payments'!$D$4:$D$85,A8)-SUMIFS('Customer and Supplier Returns'!$S$2:$S$12,'Customer and Supplier Returns'!$D$2:$D$12,A8,'Customer and Supplier Returns'!$B$2:$B$12,"Customer return")-SUMIFS('Customer Invoices and Payments'!$F$91:$F$152,'Customer Invoices and Payments'!$C$91:$C$152,A8)</f>
        <v>26640331.68</v>
      </c>
      <c r="O8" s="9" t="n">
        <f aca="false">IF(I8=0,"n/a (cash)",N8/I8)</f>
        <v>0.761152333714286</v>
      </c>
    </row>
    <row r="9" customFormat="false" ht="15" hidden="false" customHeight="false" outlineLevel="0" collapsed="false">
      <c r="A9" s="5" t="s">
        <v>90</v>
      </c>
      <c r="B9" s="5" t="s">
        <v>91</v>
      </c>
      <c r="C9" s="6" t="s">
        <v>92</v>
      </c>
      <c r="D9" s="5" t="s">
        <v>72</v>
      </c>
      <c r="E9" s="5" t="s">
        <v>93</v>
      </c>
      <c r="F9" s="5" t="s">
        <v>94</v>
      </c>
      <c r="G9" s="5" t="s">
        <v>95</v>
      </c>
      <c r="H9" s="5" t="n">
        <v>15</v>
      </c>
      <c r="I9" s="7" t="n">
        <v>500000</v>
      </c>
      <c r="J9" s="5" t="s">
        <v>96</v>
      </c>
      <c r="K9" s="5" t="s">
        <v>46</v>
      </c>
      <c r="L9" s="8" t="n">
        <v>0</v>
      </c>
      <c r="M9" s="7" t="n">
        <v>244262.1</v>
      </c>
      <c r="N9" s="7" t="n">
        <f aca="false">SUMIFS('Customer Invoices and Payments'!$I$4:$I$85,'Customer Invoices and Payments'!$D$4:$D$85,A9)-SUMIFS('Customer and Supplier Returns'!$S$2:$S$12,'Customer and Supplier Returns'!$D$2:$D$12,A9,'Customer and Supplier Returns'!$B$2:$B$12,"Customer return")-SUMIFS('Customer Invoices and Payments'!$F$91:$F$152,'Customer Invoices and Payments'!$C$91:$C$152,A9)</f>
        <v>71837.1000000001</v>
      </c>
      <c r="O9" s="9" t="n">
        <f aca="false">IF(I9=0,"n/a (cash)",N9/I9)</f>
        <v>0.1436742</v>
      </c>
    </row>
    <row r="10" customFormat="false" ht="15" hidden="false" customHeight="false" outlineLevel="0" collapsed="false">
      <c r="A10" s="5" t="s">
        <v>97</v>
      </c>
      <c r="B10" s="5" t="s">
        <v>98</v>
      </c>
      <c r="C10" s="6" t="s">
        <v>99</v>
      </c>
      <c r="D10" s="5" t="s">
        <v>41</v>
      </c>
      <c r="E10" s="5" t="s">
        <v>100</v>
      </c>
      <c r="F10" s="5" t="s">
        <v>101</v>
      </c>
      <c r="G10" s="5" t="s">
        <v>102</v>
      </c>
      <c r="H10" s="5" t="n">
        <v>60</v>
      </c>
      <c r="I10" s="7" t="n">
        <v>1000000</v>
      </c>
      <c r="J10" s="5" t="s">
        <v>103</v>
      </c>
      <c r="K10" s="5" t="s">
        <v>46</v>
      </c>
      <c r="L10" s="8" t="n">
        <v>0.05</v>
      </c>
      <c r="M10" s="7" t="n">
        <v>429209.15</v>
      </c>
      <c r="N10" s="7" t="n">
        <f aca="false">SUMIFS('Customer Invoices and Payments'!$I$4:$I$85,'Customer Invoices and Payments'!$D$4:$D$85,A10)-SUMIFS('Customer and Supplier Returns'!$S$2:$S$12,'Customer and Supplier Returns'!$D$2:$D$12,A10,'Customer and Supplier Returns'!$B$2:$B$12,"Customer return")-SUMIFS('Customer Invoices and Payments'!$F$91:$F$152,'Customer Invoices and Payments'!$C$91:$C$152,A10)</f>
        <v>325880.12</v>
      </c>
      <c r="O10" s="9" t="n">
        <f aca="false">IF(I10=0,"n/a (cash)",N10/I10)</f>
        <v>0.32588012</v>
      </c>
    </row>
    <row r="11" customFormat="false" ht="15" hidden="false" customHeight="false" outlineLevel="0" collapsed="false">
      <c r="A11" s="5" t="s">
        <v>104</v>
      </c>
      <c r="B11" s="5" t="s">
        <v>105</v>
      </c>
      <c r="C11" s="6" t="s">
        <v>106</v>
      </c>
      <c r="D11" s="5" t="s">
        <v>41</v>
      </c>
      <c r="E11" s="5" t="s">
        <v>42</v>
      </c>
      <c r="F11" s="5" t="s">
        <v>107</v>
      </c>
      <c r="G11" s="5" t="s">
        <v>108</v>
      </c>
      <c r="H11" s="5" t="n">
        <v>30</v>
      </c>
      <c r="I11" s="7" t="n">
        <v>500000</v>
      </c>
      <c r="J11" s="5" t="s">
        <v>109</v>
      </c>
      <c r="K11" s="5" t="s">
        <v>110</v>
      </c>
      <c r="L11" s="8" t="n">
        <v>0.03</v>
      </c>
      <c r="M11" s="7" t="n">
        <v>353670.23</v>
      </c>
      <c r="N11" s="7" t="n">
        <f aca="false">SUMIFS('Customer Invoices and Payments'!$I$4:$I$85,'Customer Invoices and Payments'!$D$4:$D$85,A11)-SUMIFS('Customer and Supplier Returns'!$S$2:$S$12,'Customer and Supplier Returns'!$D$2:$D$12,A11,'Customer and Supplier Returns'!$B$2:$B$12,"Customer return")-SUMIFS('Customer Invoices and Payments'!$F$91:$F$152,'Customer Invoices and Payments'!$C$91:$C$152,A11)</f>
        <v>114533.24</v>
      </c>
      <c r="O11" s="9" t="n">
        <f aca="false">IF(I11=0,"n/a (cash)",N11/I11)</f>
        <v>0.22906648</v>
      </c>
    </row>
    <row r="12" customFormat="false" ht="15" hidden="false" customHeight="false" outlineLevel="0" collapsed="false">
      <c r="A12" s="5" t="s">
        <v>111</v>
      </c>
      <c r="B12" s="5" t="s">
        <v>112</v>
      </c>
      <c r="C12" s="6" t="s">
        <v>113</v>
      </c>
      <c r="D12" s="5" t="s">
        <v>41</v>
      </c>
      <c r="E12" s="5" t="s">
        <v>114</v>
      </c>
      <c r="F12" s="5" t="s">
        <v>115</v>
      </c>
      <c r="G12" s="5" t="s">
        <v>116</v>
      </c>
      <c r="H12" s="5" t="n">
        <v>45</v>
      </c>
      <c r="I12" s="7" t="n">
        <v>1500000</v>
      </c>
      <c r="J12" s="5" t="s">
        <v>117</v>
      </c>
      <c r="K12" s="5" t="s">
        <v>46</v>
      </c>
      <c r="L12" s="8" t="n">
        <v>0.02</v>
      </c>
      <c r="M12" s="7" t="n">
        <v>887396.86</v>
      </c>
      <c r="N12" s="7" t="n">
        <f aca="false">SUMIFS('Customer Invoices and Payments'!$I$4:$I$85,'Customer Invoices and Payments'!$D$4:$D$85,A12)-SUMIFS('Customer and Supplier Returns'!$S$2:$S$12,'Customer and Supplier Returns'!$D$2:$D$12,A12,'Customer and Supplier Returns'!$B$2:$B$12,"Customer return")-SUMIFS('Customer Invoices and Payments'!$F$91:$F$152,'Customer Invoices and Payments'!$C$91:$C$152,A12)</f>
        <v>786848.86</v>
      </c>
      <c r="O12" s="9" t="n">
        <f aca="false">IF(I12=0,"n/a (cash)",N12/I12)</f>
        <v>0.524565906666667</v>
      </c>
    </row>
    <row r="13" customFormat="false" ht="15" hidden="false" customHeight="false" outlineLevel="0" collapsed="false">
      <c r="A13" s="5" t="s">
        <v>118</v>
      </c>
      <c r="B13" s="5" t="s">
        <v>119</v>
      </c>
      <c r="C13" s="6" t="s">
        <v>120</v>
      </c>
      <c r="D13" s="5" t="s">
        <v>121</v>
      </c>
      <c r="E13" s="5" t="s">
        <v>122</v>
      </c>
      <c r="F13" s="5" t="s">
        <v>123</v>
      </c>
      <c r="G13" s="5" t="s">
        <v>124</v>
      </c>
      <c r="H13" s="5" t="n">
        <v>30</v>
      </c>
      <c r="I13" s="7" t="n">
        <v>500000</v>
      </c>
      <c r="J13" s="5" t="s">
        <v>125</v>
      </c>
      <c r="K13" s="5" t="s">
        <v>46</v>
      </c>
      <c r="L13" s="8" t="n">
        <v>0</v>
      </c>
      <c r="M13" s="7" t="n">
        <v>379353.24</v>
      </c>
      <c r="N13" s="7" t="n">
        <f aca="false">SUMIFS('Customer Invoices and Payments'!$I$4:$I$85,'Customer Invoices and Payments'!$D$4:$D$85,A13)-SUMIFS('Customer and Supplier Returns'!$S$2:$S$12,'Customer and Supplier Returns'!$D$2:$D$12,A13,'Customer and Supplier Returns'!$B$2:$B$12,"Customer return")-SUMIFS('Customer Invoices and Payments'!$F$91:$F$152,'Customer Invoices and Payments'!$C$91:$C$152,A13)</f>
        <v>261185.4</v>
      </c>
      <c r="O13" s="9" t="n">
        <f aca="false">IF(I13=0,"n/a (cash)",N13/I13)</f>
        <v>0.5223708</v>
      </c>
    </row>
    <row r="14" customFormat="false" ht="15" hidden="false" customHeight="false" outlineLevel="0" collapsed="false">
      <c r="A14" s="5" t="s">
        <v>126</v>
      </c>
      <c r="B14" s="5" t="s">
        <v>127</v>
      </c>
      <c r="C14" s="6" t="s">
        <v>128</v>
      </c>
      <c r="D14" s="5" t="s">
        <v>129</v>
      </c>
      <c r="E14" s="5" t="s">
        <v>42</v>
      </c>
      <c r="F14" s="5" t="s">
        <v>130</v>
      </c>
      <c r="G14" s="5" t="s">
        <v>131</v>
      </c>
      <c r="H14" s="5" t="n">
        <v>0</v>
      </c>
      <c r="I14" s="7" t="n">
        <v>0</v>
      </c>
      <c r="J14" s="5" t="s">
        <v>132</v>
      </c>
      <c r="K14" s="5" t="s">
        <v>110</v>
      </c>
      <c r="L14" s="8" t="n">
        <v>0</v>
      </c>
      <c r="M14" s="7" t="n">
        <v>7136.4</v>
      </c>
      <c r="N14" s="7" t="n">
        <f aca="false">SUMIFS('Customer Invoices and Payments'!$I$4:$I$85,'Customer Invoices and Payments'!$D$4:$D$85,A14)-SUMIFS('Customer and Supplier Returns'!$S$2:$S$12,'Customer and Supplier Returns'!$D$2:$D$12,A14,'Customer and Supplier Returns'!$B$2:$B$12,"Customer return")-SUMIFS('Customer Invoices and Payments'!$F$91:$F$152,'Customer Invoices and Payments'!$C$91:$C$152,A14)</f>
        <v>0</v>
      </c>
      <c r="O14" s="9" t="str">
        <f aca="false">IF(I14=0,"n/a (cash)",N14/I14)</f>
        <v>n/a (cash)</v>
      </c>
    </row>
  </sheetData>
  <dataValidations count="1">
    <dataValidation allowBlank="true" errorStyle="stop" operator="between" showDropDown="false" showErrorMessage="false" showInputMessage="false" sqref="D2:D14" type="list">
      <formula1>"Hospital,Clinic,Laboratory,Imaging Center,Healthcare Provider,Individual / Retail"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29"/>
    <col collapsed="false" customWidth="true" hidden="false" outlineLevel="0" max="6" min="6" style="0" width="38"/>
    <col collapsed="false" customWidth="true" hidden="false" outlineLevel="0" max="7" min="7" style="0" width="25"/>
    <col collapsed="false" customWidth="true" hidden="false" outlineLevel="0" max="8" min="8" style="0" width="22"/>
    <col collapsed="false" customWidth="true" hidden="false" outlineLevel="0" max="9" min="9" style="0" width="23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35"/>
  </cols>
  <sheetData>
    <row r="1" customFormat="false" ht="31.5" hidden="false" customHeight="true" outlineLevel="0" collapsed="false">
      <c r="A1" s="4" t="s">
        <v>133</v>
      </c>
      <c r="B1" s="4" t="s">
        <v>24</v>
      </c>
      <c r="C1" s="4" t="s">
        <v>25</v>
      </c>
      <c r="D1" s="4" t="s">
        <v>26</v>
      </c>
      <c r="E1" s="4" t="s">
        <v>134</v>
      </c>
      <c r="F1" s="4" t="s">
        <v>28</v>
      </c>
      <c r="G1" s="4" t="s">
        <v>29</v>
      </c>
      <c r="H1" s="4" t="s">
        <v>30</v>
      </c>
      <c r="I1" s="4" t="s">
        <v>32</v>
      </c>
      <c r="J1" s="4" t="s">
        <v>135</v>
      </c>
      <c r="K1" s="4" t="s">
        <v>136</v>
      </c>
      <c r="L1" s="4" t="s">
        <v>137</v>
      </c>
    </row>
    <row r="2" customFormat="false" ht="15" hidden="false" customHeight="false" outlineLevel="0" collapsed="false">
      <c r="A2" s="5" t="s">
        <v>138</v>
      </c>
      <c r="B2" s="5" t="s">
        <v>139</v>
      </c>
      <c r="C2" s="6" t="s">
        <v>140</v>
      </c>
      <c r="D2" s="5" t="s">
        <v>141</v>
      </c>
      <c r="E2" s="5" t="s">
        <v>142</v>
      </c>
      <c r="F2" s="5" t="s">
        <v>143</v>
      </c>
      <c r="G2" s="5" t="s">
        <v>144</v>
      </c>
      <c r="H2" s="5" t="n">
        <v>60</v>
      </c>
      <c r="I2" s="5" t="s">
        <v>45</v>
      </c>
      <c r="J2" s="5" t="s">
        <v>145</v>
      </c>
      <c r="K2" s="5" t="s">
        <v>146</v>
      </c>
      <c r="L2" s="7" t="n">
        <f aca="false">SUMIFS('Vendor Bills and Payments'!$K$4:$K$31,'Vendor Bills and Payments'!$D$4:$D$31,A2)-SUMIFS('Customer and Supplier Returns'!$S$2:$S$12,'Customer and Supplier Returns'!$D$2:$D$12,A2,'Customer and Supplier Returns'!$B$2:$B$12,"Supplier return")-SUMIFS('Vendor Bills and Payments'!$F$37:$F$54,'Vendor Bills and Payments'!$B$37:$B$54,A2)</f>
        <v>2618580</v>
      </c>
    </row>
    <row r="3" customFormat="false" ht="15" hidden="false" customHeight="false" outlineLevel="0" collapsed="false">
      <c r="A3" s="5" t="s">
        <v>147</v>
      </c>
      <c r="B3" s="5" t="s">
        <v>148</v>
      </c>
      <c r="C3" s="6" t="s">
        <v>149</v>
      </c>
      <c r="D3" s="5" t="s">
        <v>141</v>
      </c>
      <c r="E3" s="5" t="s">
        <v>150</v>
      </c>
      <c r="F3" s="5" t="s">
        <v>151</v>
      </c>
      <c r="G3" s="5" t="s">
        <v>152</v>
      </c>
      <c r="H3" s="5" t="n">
        <v>60</v>
      </c>
      <c r="I3" s="5" t="s">
        <v>53</v>
      </c>
      <c r="J3" s="5" t="s">
        <v>145</v>
      </c>
      <c r="K3" s="5" t="s">
        <v>146</v>
      </c>
      <c r="L3" s="7" t="n">
        <f aca="false">SUMIFS('Vendor Bills and Payments'!$K$4:$K$31,'Vendor Bills and Payments'!$D$4:$D$31,A3)-SUMIFS('Customer and Supplier Returns'!$S$2:$S$12,'Customer and Supplier Returns'!$D$2:$D$12,A3,'Customer and Supplier Returns'!$B$2:$B$12,"Supplier return")-SUMIFS('Vendor Bills and Payments'!$F$37:$F$54,'Vendor Bills and Payments'!$B$37:$B$54,A3)</f>
        <v>21090000</v>
      </c>
    </row>
    <row r="4" customFormat="false" ht="15" hidden="false" customHeight="false" outlineLevel="0" collapsed="false">
      <c r="A4" s="5" t="s">
        <v>153</v>
      </c>
      <c r="B4" s="5" t="s">
        <v>154</v>
      </c>
      <c r="C4" s="6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n">
        <v>30</v>
      </c>
      <c r="I4" s="5" t="s">
        <v>61</v>
      </c>
      <c r="J4" s="5" t="s">
        <v>160</v>
      </c>
      <c r="K4" s="5" t="s">
        <v>146</v>
      </c>
      <c r="L4" s="7" t="n">
        <f aca="false">SUMIFS('Vendor Bills and Payments'!$K$4:$K$31,'Vendor Bills and Payments'!$D$4:$D$31,A4)-SUMIFS('Customer and Supplier Returns'!$S$2:$S$12,'Customer and Supplier Returns'!$D$2:$D$12,A4,'Customer and Supplier Returns'!$B$2:$B$12,"Supplier return")-SUMIFS('Vendor Bills and Payments'!$F$37:$F$54,'Vendor Bills and Payments'!$B$37:$B$54,A4)</f>
        <v>1466603.16</v>
      </c>
    </row>
    <row r="5" customFormat="false" ht="15" hidden="false" customHeight="false" outlineLevel="0" collapsed="false">
      <c r="A5" s="5" t="s">
        <v>161</v>
      </c>
      <c r="B5" s="5" t="s">
        <v>162</v>
      </c>
      <c r="C5" s="6" t="s">
        <v>163</v>
      </c>
      <c r="D5" s="5" t="s">
        <v>164</v>
      </c>
      <c r="E5" s="5" t="s">
        <v>165</v>
      </c>
      <c r="F5" s="5" t="s">
        <v>166</v>
      </c>
      <c r="G5" s="5" t="s">
        <v>167</v>
      </c>
      <c r="H5" s="5" t="n">
        <v>30</v>
      </c>
      <c r="I5" s="5" t="s">
        <v>68</v>
      </c>
      <c r="J5" s="5" t="s">
        <v>160</v>
      </c>
      <c r="K5" s="5" t="s">
        <v>146</v>
      </c>
      <c r="L5" s="7" t="n">
        <f aca="false">SUMIFS('Vendor Bills and Payments'!$K$4:$K$31,'Vendor Bills and Payments'!$D$4:$D$31,A5)-SUMIFS('Customer and Supplier Returns'!$S$2:$S$12,'Customer and Supplier Returns'!$D$2:$D$12,A5,'Customer and Supplier Returns'!$B$2:$B$12,"Supplier return")-SUMIFS('Vendor Bills and Payments'!$F$37:$F$54,'Vendor Bills and Payments'!$B$37:$B$54,A5)</f>
        <v>1744884</v>
      </c>
    </row>
    <row r="6" customFormat="false" ht="15" hidden="false" customHeight="false" outlineLevel="0" collapsed="false">
      <c r="A6" s="5" t="s">
        <v>168</v>
      </c>
      <c r="B6" s="5" t="s">
        <v>169</v>
      </c>
      <c r="C6" s="6" t="s">
        <v>170</v>
      </c>
      <c r="D6" s="5" t="s">
        <v>171</v>
      </c>
      <c r="E6" s="5" t="s">
        <v>172</v>
      </c>
      <c r="F6" s="5" t="s">
        <v>173</v>
      </c>
      <c r="G6" s="5" t="s">
        <v>174</v>
      </c>
      <c r="H6" s="5" t="n">
        <v>45</v>
      </c>
      <c r="I6" s="5" t="s">
        <v>75</v>
      </c>
      <c r="J6" s="5" t="s">
        <v>145</v>
      </c>
      <c r="K6" s="5" t="s">
        <v>146</v>
      </c>
      <c r="L6" s="7" t="n">
        <f aca="false">SUMIFS('Vendor Bills and Payments'!$K$4:$K$31,'Vendor Bills and Payments'!$D$4:$D$31,A6)-SUMIFS('Customer and Supplier Returns'!$S$2:$S$12,'Customer and Supplier Returns'!$D$2:$D$12,A6,'Customer and Supplier Returns'!$B$2:$B$12,"Supplier return")-SUMIFS('Vendor Bills and Payments'!$F$37:$F$54,'Vendor Bills and Payments'!$B$37:$B$54,A6)</f>
        <v>764712</v>
      </c>
    </row>
    <row r="7" customFormat="false" ht="15" hidden="false" customHeight="false" outlineLevel="0" collapsed="false">
      <c r="A7" s="5" t="s">
        <v>175</v>
      </c>
      <c r="B7" s="5" t="s">
        <v>176</v>
      </c>
      <c r="C7" s="6" t="s">
        <v>177</v>
      </c>
      <c r="D7" s="5" t="s">
        <v>164</v>
      </c>
      <c r="E7" s="5" t="s">
        <v>165</v>
      </c>
      <c r="F7" s="5" t="s">
        <v>178</v>
      </c>
      <c r="G7" s="5" t="s">
        <v>179</v>
      </c>
      <c r="H7" s="5" t="n">
        <v>30</v>
      </c>
      <c r="I7" s="5" t="s">
        <v>82</v>
      </c>
      <c r="J7" s="5" t="s">
        <v>160</v>
      </c>
      <c r="K7" s="5" t="s">
        <v>146</v>
      </c>
      <c r="L7" s="7" t="n">
        <f aca="false">SUMIFS('Vendor Bills and Payments'!$K$4:$K$31,'Vendor Bills and Payments'!$D$4:$D$31,A7)-SUMIFS('Customer and Supplier Returns'!$S$2:$S$12,'Customer and Supplier Returns'!$D$2:$D$12,A7,'Customer and Supplier Returns'!$B$2:$B$12,"Supplier return")-SUMIFS('Vendor Bills and Payments'!$F$37:$F$54,'Vendor Bills and Payments'!$B$37:$B$54,A7)</f>
        <v>300207.6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36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36"/>
    <col collapsed="false" customWidth="true" hidden="false" outlineLevel="0" max="9" min="9" style="0" width="30"/>
    <col collapsed="false" customWidth="true" hidden="false" outlineLevel="0" max="10" min="10" style="0" width="24"/>
  </cols>
  <sheetData>
    <row r="1" customFormat="false" ht="31.5" hidden="false" customHeight="true" outlineLevel="0" collapsed="false">
      <c r="A1" s="4" t="s">
        <v>180</v>
      </c>
      <c r="B1" s="4" t="s">
        <v>181</v>
      </c>
      <c r="C1" s="4" t="s">
        <v>182</v>
      </c>
      <c r="D1" s="4" t="s">
        <v>23</v>
      </c>
      <c r="E1" s="4" t="s">
        <v>183</v>
      </c>
      <c r="F1" s="4" t="s">
        <v>184</v>
      </c>
      <c r="G1" s="4" t="s">
        <v>30</v>
      </c>
      <c r="H1" s="4" t="s">
        <v>185</v>
      </c>
      <c r="I1" s="4" t="s">
        <v>186</v>
      </c>
      <c r="J1" s="4" t="s">
        <v>187</v>
      </c>
    </row>
    <row r="2" customFormat="false" ht="15" hidden="false" customHeight="false" outlineLevel="0" collapsed="false">
      <c r="A2" s="5" t="s">
        <v>188</v>
      </c>
      <c r="B2" s="10" t="n">
        <v>46147</v>
      </c>
      <c r="C2" s="5" t="s">
        <v>189</v>
      </c>
      <c r="D2" s="5" t="s">
        <v>38</v>
      </c>
      <c r="E2" s="5" t="s">
        <v>39</v>
      </c>
      <c r="F2" s="5" t="s">
        <v>46</v>
      </c>
      <c r="G2" s="5" t="n">
        <v>30</v>
      </c>
      <c r="H2" s="5" t="s">
        <v>190</v>
      </c>
      <c r="I2" s="5" t="s">
        <v>191</v>
      </c>
      <c r="J2" s="5" t="s">
        <v>192</v>
      </c>
    </row>
    <row r="3" customFormat="false" ht="15" hidden="false" customHeight="false" outlineLevel="0" collapsed="false">
      <c r="A3" s="5" t="s">
        <v>193</v>
      </c>
      <c r="B3" s="10" t="n">
        <v>46147</v>
      </c>
      <c r="C3" s="5" t="s">
        <v>189</v>
      </c>
      <c r="D3" s="5" t="s">
        <v>55</v>
      </c>
      <c r="E3" s="5" t="s">
        <v>56</v>
      </c>
      <c r="F3" s="5" t="s">
        <v>54</v>
      </c>
      <c r="G3" s="5" t="n">
        <v>45</v>
      </c>
      <c r="H3" s="5" t="s">
        <v>190</v>
      </c>
      <c r="I3" s="5" t="s">
        <v>194</v>
      </c>
      <c r="J3" s="5" t="s">
        <v>195</v>
      </c>
    </row>
    <row r="4" customFormat="false" ht="15" hidden="false" customHeight="false" outlineLevel="0" collapsed="false">
      <c r="A4" s="5" t="s">
        <v>196</v>
      </c>
      <c r="B4" s="10" t="n">
        <v>46152</v>
      </c>
      <c r="C4" s="5" t="s">
        <v>189</v>
      </c>
      <c r="D4" s="5" t="s">
        <v>69</v>
      </c>
      <c r="E4" s="5" t="s">
        <v>70</v>
      </c>
      <c r="F4" s="5" t="s">
        <v>46</v>
      </c>
      <c r="G4" s="5" t="n">
        <v>15</v>
      </c>
      <c r="H4" s="5" t="s">
        <v>190</v>
      </c>
      <c r="I4" s="5" t="s">
        <v>197</v>
      </c>
      <c r="J4" s="5" t="s">
        <v>198</v>
      </c>
    </row>
    <row r="5" customFormat="false" ht="15" hidden="false" customHeight="false" outlineLevel="0" collapsed="false">
      <c r="A5" s="5" t="s">
        <v>199</v>
      </c>
      <c r="B5" s="10" t="n">
        <v>46154</v>
      </c>
      <c r="C5" s="5" t="s">
        <v>189</v>
      </c>
      <c r="D5" s="5" t="s">
        <v>47</v>
      </c>
      <c r="E5" s="5" t="s">
        <v>48</v>
      </c>
      <c r="F5" s="5" t="s">
        <v>54</v>
      </c>
      <c r="G5" s="5" t="n">
        <v>45</v>
      </c>
      <c r="H5" s="5" t="s">
        <v>190</v>
      </c>
      <c r="I5" s="5" t="s">
        <v>200</v>
      </c>
      <c r="J5" s="5" t="s">
        <v>201</v>
      </c>
    </row>
    <row r="6" customFormat="false" ht="15" hidden="false" customHeight="false" outlineLevel="0" collapsed="false">
      <c r="A6" s="5" t="s">
        <v>202</v>
      </c>
      <c r="B6" s="10" t="n">
        <v>46154</v>
      </c>
      <c r="C6" s="5" t="s">
        <v>189</v>
      </c>
      <c r="D6" s="5" t="s">
        <v>126</v>
      </c>
      <c r="E6" s="5" t="s">
        <v>127</v>
      </c>
      <c r="F6" s="5" t="s">
        <v>110</v>
      </c>
      <c r="G6" s="5" t="n">
        <v>0</v>
      </c>
      <c r="H6" s="5" t="s">
        <v>190</v>
      </c>
      <c r="I6" s="5" t="s">
        <v>203</v>
      </c>
      <c r="J6" s="5" t="s">
        <v>204</v>
      </c>
    </row>
    <row r="7" customFormat="false" ht="15" hidden="false" customHeight="false" outlineLevel="0" collapsed="false">
      <c r="A7" s="5" t="s">
        <v>205</v>
      </c>
      <c r="B7" s="10" t="n">
        <v>46155</v>
      </c>
      <c r="C7" s="5" t="s">
        <v>189</v>
      </c>
      <c r="D7" s="5" t="s">
        <v>126</v>
      </c>
      <c r="E7" s="5" t="s">
        <v>127</v>
      </c>
      <c r="F7" s="5" t="s">
        <v>110</v>
      </c>
      <c r="G7" s="5" t="n">
        <v>0</v>
      </c>
      <c r="H7" s="5" t="s">
        <v>190</v>
      </c>
      <c r="I7" s="5" t="s">
        <v>206</v>
      </c>
      <c r="J7" s="5" t="s">
        <v>207</v>
      </c>
    </row>
    <row r="8" customFormat="false" ht="15" hidden="false" customHeight="false" outlineLevel="0" collapsed="false">
      <c r="A8" s="5" t="s">
        <v>208</v>
      </c>
      <c r="B8" s="10" t="n">
        <v>46159</v>
      </c>
      <c r="C8" s="5" t="s">
        <v>189</v>
      </c>
      <c r="D8" s="5" t="s">
        <v>97</v>
      </c>
      <c r="E8" s="5" t="s">
        <v>98</v>
      </c>
      <c r="F8" s="5" t="s">
        <v>46</v>
      </c>
      <c r="G8" s="5" t="n">
        <v>60</v>
      </c>
      <c r="H8" s="5" t="s">
        <v>190</v>
      </c>
      <c r="I8" s="5" t="s">
        <v>209</v>
      </c>
      <c r="J8" s="5" t="s">
        <v>210</v>
      </c>
    </row>
    <row r="9" customFormat="false" ht="15" hidden="false" customHeight="false" outlineLevel="0" collapsed="false">
      <c r="A9" s="5" t="s">
        <v>211</v>
      </c>
      <c r="B9" s="10" t="n">
        <v>46160</v>
      </c>
      <c r="C9" s="5" t="s">
        <v>189</v>
      </c>
      <c r="D9" s="5" t="s">
        <v>104</v>
      </c>
      <c r="E9" s="5" t="s">
        <v>105</v>
      </c>
      <c r="F9" s="5" t="s">
        <v>110</v>
      </c>
      <c r="G9" s="5" t="n">
        <v>30</v>
      </c>
      <c r="H9" s="5" t="s">
        <v>190</v>
      </c>
      <c r="I9" s="5" t="s">
        <v>212</v>
      </c>
      <c r="J9" s="5" t="s">
        <v>213</v>
      </c>
    </row>
    <row r="10" customFormat="false" ht="15" hidden="false" customHeight="false" outlineLevel="0" collapsed="false">
      <c r="A10" s="5" t="s">
        <v>214</v>
      </c>
      <c r="B10" s="10" t="n">
        <v>46163</v>
      </c>
      <c r="C10" s="5" t="s">
        <v>189</v>
      </c>
      <c r="D10" s="5" t="s">
        <v>126</v>
      </c>
      <c r="E10" s="5" t="s">
        <v>127</v>
      </c>
      <c r="F10" s="5" t="s">
        <v>110</v>
      </c>
      <c r="G10" s="5" t="n">
        <v>0</v>
      </c>
      <c r="H10" s="5" t="s">
        <v>190</v>
      </c>
      <c r="I10" s="5" t="s">
        <v>215</v>
      </c>
      <c r="J10" s="5" t="s">
        <v>216</v>
      </c>
    </row>
    <row r="11" customFormat="false" ht="15" hidden="false" customHeight="false" outlineLevel="0" collapsed="false">
      <c r="A11" s="5" t="s">
        <v>217</v>
      </c>
      <c r="B11" s="10" t="n">
        <v>46163</v>
      </c>
      <c r="C11" s="5" t="s">
        <v>189</v>
      </c>
      <c r="D11" s="5" t="s">
        <v>126</v>
      </c>
      <c r="E11" s="5" t="s">
        <v>127</v>
      </c>
      <c r="F11" s="5" t="s">
        <v>110</v>
      </c>
      <c r="G11" s="5" t="n">
        <v>0</v>
      </c>
      <c r="H11" s="5" t="s">
        <v>190</v>
      </c>
      <c r="I11" s="5" t="s">
        <v>218</v>
      </c>
      <c r="J11" s="5" t="s">
        <v>219</v>
      </c>
    </row>
    <row r="12" customFormat="false" ht="15" hidden="false" customHeight="false" outlineLevel="0" collapsed="false">
      <c r="A12" s="5" t="s">
        <v>220</v>
      </c>
      <c r="B12" s="10" t="n">
        <v>46166</v>
      </c>
      <c r="C12" s="5" t="s">
        <v>189</v>
      </c>
      <c r="D12" s="5" t="s">
        <v>76</v>
      </c>
      <c r="E12" s="5" t="s">
        <v>77</v>
      </c>
      <c r="F12" s="5" t="s">
        <v>46</v>
      </c>
      <c r="G12" s="5" t="n">
        <v>30</v>
      </c>
      <c r="H12" s="5" t="s">
        <v>190</v>
      </c>
      <c r="I12" s="5" t="s">
        <v>221</v>
      </c>
      <c r="J12" s="5" t="s">
        <v>222</v>
      </c>
    </row>
    <row r="13" customFormat="false" ht="15" hidden="false" customHeight="false" outlineLevel="0" collapsed="false">
      <c r="A13" s="5" t="s">
        <v>223</v>
      </c>
      <c r="B13" s="10" t="n">
        <v>46166</v>
      </c>
      <c r="C13" s="5" t="s">
        <v>189</v>
      </c>
      <c r="D13" s="5" t="s">
        <v>118</v>
      </c>
      <c r="E13" s="5" t="s">
        <v>119</v>
      </c>
      <c r="F13" s="5" t="s">
        <v>46</v>
      </c>
      <c r="G13" s="5" t="n">
        <v>30</v>
      </c>
      <c r="H13" s="5" t="s">
        <v>190</v>
      </c>
      <c r="I13" s="5" t="s">
        <v>224</v>
      </c>
      <c r="J13" s="5" t="s">
        <v>225</v>
      </c>
    </row>
    <row r="14" customFormat="false" ht="15" hidden="false" customHeight="false" outlineLevel="0" collapsed="false">
      <c r="A14" s="5" t="s">
        <v>226</v>
      </c>
      <c r="B14" s="10" t="n">
        <v>46168</v>
      </c>
      <c r="C14" s="5" t="s">
        <v>189</v>
      </c>
      <c r="D14" s="5" t="s">
        <v>83</v>
      </c>
      <c r="E14" s="5" t="s">
        <v>84</v>
      </c>
      <c r="F14" s="5" t="s">
        <v>54</v>
      </c>
      <c r="G14" s="5" t="n">
        <v>60</v>
      </c>
      <c r="H14" s="5" t="s">
        <v>190</v>
      </c>
      <c r="I14" s="5" t="s">
        <v>227</v>
      </c>
      <c r="J14" s="5" t="s">
        <v>228</v>
      </c>
    </row>
    <row r="15" customFormat="false" ht="15" hidden="false" customHeight="false" outlineLevel="0" collapsed="false">
      <c r="A15" s="5" t="s">
        <v>229</v>
      </c>
      <c r="B15" s="10" t="n">
        <v>46169</v>
      </c>
      <c r="C15" s="5" t="s">
        <v>189</v>
      </c>
      <c r="D15" s="5" t="s">
        <v>90</v>
      </c>
      <c r="E15" s="5" t="s">
        <v>91</v>
      </c>
      <c r="F15" s="5" t="s">
        <v>46</v>
      </c>
      <c r="G15" s="5" t="n">
        <v>15</v>
      </c>
      <c r="H15" s="5" t="s">
        <v>190</v>
      </c>
      <c r="I15" s="5" t="s">
        <v>230</v>
      </c>
      <c r="J15" s="5" t="s">
        <v>231</v>
      </c>
    </row>
    <row r="16" customFormat="false" ht="15" hidden="false" customHeight="false" outlineLevel="0" collapsed="false">
      <c r="A16" s="5" t="s">
        <v>232</v>
      </c>
      <c r="B16" s="10" t="n">
        <v>46170</v>
      </c>
      <c r="C16" s="5" t="s">
        <v>189</v>
      </c>
      <c r="D16" s="5" t="s">
        <v>111</v>
      </c>
      <c r="E16" s="5" t="s">
        <v>112</v>
      </c>
      <c r="F16" s="5" t="s">
        <v>46</v>
      </c>
      <c r="G16" s="5" t="n">
        <v>45</v>
      </c>
      <c r="H16" s="5" t="s">
        <v>190</v>
      </c>
      <c r="I16" s="5" t="s">
        <v>233</v>
      </c>
      <c r="J16" s="5" t="s">
        <v>234</v>
      </c>
    </row>
    <row r="17" customFormat="false" ht="15" hidden="false" customHeight="false" outlineLevel="0" collapsed="false">
      <c r="A17" s="5" t="s">
        <v>235</v>
      </c>
      <c r="B17" s="10" t="n">
        <v>46170</v>
      </c>
      <c r="C17" s="5" t="s">
        <v>189</v>
      </c>
      <c r="D17" s="5" t="s">
        <v>62</v>
      </c>
      <c r="E17" s="5" t="s">
        <v>63</v>
      </c>
      <c r="F17" s="5" t="s">
        <v>54</v>
      </c>
      <c r="G17" s="5" t="n">
        <v>30</v>
      </c>
      <c r="H17" s="5" t="s">
        <v>190</v>
      </c>
      <c r="I17" s="5" t="s">
        <v>236</v>
      </c>
      <c r="J17" s="5" t="s">
        <v>237</v>
      </c>
    </row>
    <row r="18" customFormat="false" ht="15" hidden="false" customHeight="false" outlineLevel="0" collapsed="false">
      <c r="A18" s="5" t="s">
        <v>238</v>
      </c>
      <c r="B18" s="10" t="n">
        <v>46175</v>
      </c>
      <c r="C18" s="5" t="s">
        <v>239</v>
      </c>
      <c r="D18" s="5" t="s">
        <v>111</v>
      </c>
      <c r="E18" s="5" t="s">
        <v>112</v>
      </c>
      <c r="F18" s="5" t="s">
        <v>46</v>
      </c>
      <c r="G18" s="5" t="n">
        <v>45</v>
      </c>
      <c r="H18" s="5" t="s">
        <v>190</v>
      </c>
      <c r="I18" s="5" t="s">
        <v>240</v>
      </c>
      <c r="J18" s="5" t="s">
        <v>241</v>
      </c>
    </row>
    <row r="19" customFormat="false" ht="15" hidden="false" customHeight="false" outlineLevel="0" collapsed="false">
      <c r="A19" s="5" t="s">
        <v>242</v>
      </c>
      <c r="B19" s="10" t="n">
        <v>46176</v>
      </c>
      <c r="C19" s="5" t="s">
        <v>239</v>
      </c>
      <c r="D19" s="5" t="s">
        <v>126</v>
      </c>
      <c r="E19" s="5" t="s">
        <v>127</v>
      </c>
      <c r="F19" s="5" t="s">
        <v>110</v>
      </c>
      <c r="G19" s="5" t="n">
        <v>0</v>
      </c>
      <c r="H19" s="5" t="s">
        <v>190</v>
      </c>
      <c r="I19" s="5" t="s">
        <v>243</v>
      </c>
      <c r="J19" s="5" t="s">
        <v>244</v>
      </c>
    </row>
    <row r="20" customFormat="false" ht="15" hidden="false" customHeight="false" outlineLevel="0" collapsed="false">
      <c r="A20" s="5" t="s">
        <v>245</v>
      </c>
      <c r="B20" s="10" t="n">
        <v>46180</v>
      </c>
      <c r="C20" s="5" t="s">
        <v>239</v>
      </c>
      <c r="D20" s="5" t="s">
        <v>76</v>
      </c>
      <c r="E20" s="5" t="s">
        <v>77</v>
      </c>
      <c r="F20" s="5" t="s">
        <v>46</v>
      </c>
      <c r="G20" s="5" t="n">
        <v>30</v>
      </c>
      <c r="H20" s="5" t="s">
        <v>190</v>
      </c>
      <c r="I20" s="5" t="s">
        <v>246</v>
      </c>
      <c r="J20" s="5" t="s">
        <v>247</v>
      </c>
    </row>
    <row r="21" customFormat="false" ht="15" hidden="false" customHeight="false" outlineLevel="0" collapsed="false">
      <c r="A21" s="5" t="s">
        <v>248</v>
      </c>
      <c r="B21" s="10" t="n">
        <v>46180</v>
      </c>
      <c r="C21" s="5" t="s">
        <v>239</v>
      </c>
      <c r="D21" s="5" t="s">
        <v>47</v>
      </c>
      <c r="E21" s="5" t="s">
        <v>48</v>
      </c>
      <c r="F21" s="5" t="s">
        <v>54</v>
      </c>
      <c r="G21" s="5" t="n">
        <v>45</v>
      </c>
      <c r="H21" s="5" t="s">
        <v>190</v>
      </c>
      <c r="I21" s="5" t="s">
        <v>249</v>
      </c>
      <c r="J21" s="5" t="s">
        <v>250</v>
      </c>
    </row>
    <row r="22" customFormat="false" ht="15" hidden="false" customHeight="false" outlineLevel="0" collapsed="false">
      <c r="A22" s="5" t="s">
        <v>251</v>
      </c>
      <c r="B22" s="10" t="n">
        <v>46180</v>
      </c>
      <c r="C22" s="5" t="s">
        <v>239</v>
      </c>
      <c r="D22" s="5" t="s">
        <v>126</v>
      </c>
      <c r="E22" s="5" t="s">
        <v>127</v>
      </c>
      <c r="F22" s="5" t="s">
        <v>110</v>
      </c>
      <c r="G22" s="5" t="n">
        <v>0</v>
      </c>
      <c r="H22" s="5" t="s">
        <v>190</v>
      </c>
      <c r="I22" s="5" t="s">
        <v>252</v>
      </c>
      <c r="J22" s="5" t="s">
        <v>253</v>
      </c>
    </row>
    <row r="23" customFormat="false" ht="15" hidden="false" customHeight="false" outlineLevel="0" collapsed="false">
      <c r="A23" s="5" t="s">
        <v>254</v>
      </c>
      <c r="B23" s="10" t="n">
        <v>46181</v>
      </c>
      <c r="C23" s="5" t="s">
        <v>239</v>
      </c>
      <c r="D23" s="5" t="s">
        <v>104</v>
      </c>
      <c r="E23" s="5" t="s">
        <v>105</v>
      </c>
      <c r="F23" s="5" t="s">
        <v>110</v>
      </c>
      <c r="G23" s="5" t="n">
        <v>30</v>
      </c>
      <c r="H23" s="5" t="s">
        <v>190</v>
      </c>
      <c r="I23" s="5" t="s">
        <v>255</v>
      </c>
      <c r="J23" s="5" t="s">
        <v>256</v>
      </c>
    </row>
    <row r="24" customFormat="false" ht="15" hidden="false" customHeight="false" outlineLevel="0" collapsed="false">
      <c r="A24" s="5" t="s">
        <v>257</v>
      </c>
      <c r="B24" s="10" t="n">
        <v>46182</v>
      </c>
      <c r="C24" s="5" t="s">
        <v>239</v>
      </c>
      <c r="D24" s="5" t="s">
        <v>126</v>
      </c>
      <c r="E24" s="5" t="s">
        <v>127</v>
      </c>
      <c r="F24" s="5" t="s">
        <v>110</v>
      </c>
      <c r="G24" s="5" t="n">
        <v>0</v>
      </c>
      <c r="H24" s="5" t="s">
        <v>190</v>
      </c>
      <c r="I24" s="5" t="s">
        <v>258</v>
      </c>
      <c r="J24" s="5" t="s">
        <v>259</v>
      </c>
    </row>
    <row r="25" customFormat="false" ht="15" hidden="false" customHeight="false" outlineLevel="0" collapsed="false">
      <c r="A25" s="5" t="s">
        <v>260</v>
      </c>
      <c r="B25" s="10" t="n">
        <v>46183</v>
      </c>
      <c r="C25" s="5" t="s">
        <v>239</v>
      </c>
      <c r="D25" s="5" t="s">
        <v>118</v>
      </c>
      <c r="E25" s="5" t="s">
        <v>119</v>
      </c>
      <c r="F25" s="5" t="s">
        <v>46</v>
      </c>
      <c r="G25" s="5" t="n">
        <v>30</v>
      </c>
      <c r="H25" s="5" t="s">
        <v>190</v>
      </c>
      <c r="I25" s="5" t="s">
        <v>261</v>
      </c>
      <c r="J25" s="5" t="s">
        <v>262</v>
      </c>
    </row>
    <row r="26" customFormat="false" ht="15" hidden="false" customHeight="false" outlineLevel="0" collapsed="false">
      <c r="A26" s="5" t="s">
        <v>263</v>
      </c>
      <c r="B26" s="10" t="n">
        <v>46189</v>
      </c>
      <c r="C26" s="5" t="s">
        <v>239</v>
      </c>
      <c r="D26" s="5" t="s">
        <v>90</v>
      </c>
      <c r="E26" s="5" t="s">
        <v>91</v>
      </c>
      <c r="F26" s="5" t="s">
        <v>46</v>
      </c>
      <c r="G26" s="5" t="n">
        <v>15</v>
      </c>
      <c r="H26" s="5" t="s">
        <v>190</v>
      </c>
      <c r="I26" s="5" t="s">
        <v>264</v>
      </c>
      <c r="J26" s="5" t="s">
        <v>265</v>
      </c>
    </row>
    <row r="27" customFormat="false" ht="15" hidden="false" customHeight="false" outlineLevel="0" collapsed="false">
      <c r="A27" s="5" t="s">
        <v>266</v>
      </c>
      <c r="B27" s="10" t="n">
        <v>46189</v>
      </c>
      <c r="C27" s="5" t="s">
        <v>239</v>
      </c>
      <c r="D27" s="5" t="s">
        <v>55</v>
      </c>
      <c r="E27" s="5" t="s">
        <v>56</v>
      </c>
      <c r="F27" s="5" t="s">
        <v>54</v>
      </c>
      <c r="G27" s="5" t="n">
        <v>45</v>
      </c>
      <c r="H27" s="5" t="s">
        <v>190</v>
      </c>
      <c r="I27" s="5" t="s">
        <v>267</v>
      </c>
      <c r="J27" s="5" t="s">
        <v>268</v>
      </c>
    </row>
    <row r="28" customFormat="false" ht="15" hidden="false" customHeight="false" outlineLevel="0" collapsed="false">
      <c r="A28" s="5" t="s">
        <v>269</v>
      </c>
      <c r="B28" s="10" t="n">
        <v>46194</v>
      </c>
      <c r="C28" s="5" t="s">
        <v>239</v>
      </c>
      <c r="D28" s="5" t="s">
        <v>126</v>
      </c>
      <c r="E28" s="5" t="s">
        <v>127</v>
      </c>
      <c r="F28" s="5" t="s">
        <v>110</v>
      </c>
      <c r="G28" s="5" t="n">
        <v>0</v>
      </c>
      <c r="H28" s="5" t="s">
        <v>190</v>
      </c>
      <c r="I28" s="5" t="s">
        <v>270</v>
      </c>
      <c r="J28" s="5" t="s">
        <v>271</v>
      </c>
    </row>
    <row r="29" customFormat="false" ht="15" hidden="false" customHeight="false" outlineLevel="0" collapsed="false">
      <c r="A29" s="5" t="s">
        <v>272</v>
      </c>
      <c r="B29" s="10" t="n">
        <v>46196</v>
      </c>
      <c r="C29" s="5" t="s">
        <v>239</v>
      </c>
      <c r="D29" s="5" t="s">
        <v>69</v>
      </c>
      <c r="E29" s="5" t="s">
        <v>70</v>
      </c>
      <c r="F29" s="5" t="s">
        <v>46</v>
      </c>
      <c r="G29" s="5" t="n">
        <v>15</v>
      </c>
      <c r="H29" s="5" t="s">
        <v>190</v>
      </c>
      <c r="I29" s="5" t="s">
        <v>273</v>
      </c>
      <c r="J29" s="5" t="s">
        <v>274</v>
      </c>
    </row>
    <row r="30" customFormat="false" ht="15" hidden="false" customHeight="false" outlineLevel="0" collapsed="false">
      <c r="A30" s="5" t="s">
        <v>275</v>
      </c>
      <c r="B30" s="10" t="n">
        <v>46197</v>
      </c>
      <c r="C30" s="5" t="s">
        <v>239</v>
      </c>
      <c r="D30" s="5" t="s">
        <v>62</v>
      </c>
      <c r="E30" s="5" t="s">
        <v>63</v>
      </c>
      <c r="F30" s="5" t="s">
        <v>54</v>
      </c>
      <c r="G30" s="5" t="n">
        <v>30</v>
      </c>
      <c r="H30" s="5" t="s">
        <v>190</v>
      </c>
      <c r="I30" s="5" t="s">
        <v>276</v>
      </c>
      <c r="J30" s="5" t="s">
        <v>277</v>
      </c>
    </row>
    <row r="31" customFormat="false" ht="15" hidden="false" customHeight="false" outlineLevel="0" collapsed="false">
      <c r="A31" s="5" t="s">
        <v>278</v>
      </c>
      <c r="B31" s="10" t="n">
        <v>46201</v>
      </c>
      <c r="C31" s="5" t="s">
        <v>239</v>
      </c>
      <c r="D31" s="5" t="s">
        <v>83</v>
      </c>
      <c r="E31" s="5" t="s">
        <v>84</v>
      </c>
      <c r="F31" s="5" t="s">
        <v>54</v>
      </c>
      <c r="G31" s="5" t="n">
        <v>60</v>
      </c>
      <c r="H31" s="5" t="s">
        <v>190</v>
      </c>
      <c r="I31" s="5" t="s">
        <v>279</v>
      </c>
      <c r="J31" s="5" t="s">
        <v>280</v>
      </c>
    </row>
    <row r="32" customFormat="false" ht="15" hidden="false" customHeight="false" outlineLevel="0" collapsed="false">
      <c r="A32" s="5" t="s">
        <v>281</v>
      </c>
      <c r="B32" s="10" t="n">
        <v>46201</v>
      </c>
      <c r="C32" s="5" t="s">
        <v>239</v>
      </c>
      <c r="D32" s="5" t="s">
        <v>38</v>
      </c>
      <c r="E32" s="5" t="s">
        <v>39</v>
      </c>
      <c r="F32" s="5" t="s">
        <v>46</v>
      </c>
      <c r="G32" s="5" t="n">
        <v>30</v>
      </c>
      <c r="H32" s="5" t="s">
        <v>190</v>
      </c>
      <c r="I32" s="5" t="s">
        <v>282</v>
      </c>
      <c r="J32" s="5" t="s">
        <v>283</v>
      </c>
    </row>
    <row r="33" customFormat="false" ht="15" hidden="false" customHeight="false" outlineLevel="0" collapsed="false">
      <c r="A33" s="5" t="s">
        <v>284</v>
      </c>
      <c r="B33" s="10" t="n">
        <v>46202</v>
      </c>
      <c r="C33" s="5" t="s">
        <v>239</v>
      </c>
      <c r="D33" s="5" t="s">
        <v>97</v>
      </c>
      <c r="E33" s="5" t="s">
        <v>98</v>
      </c>
      <c r="F33" s="5" t="s">
        <v>46</v>
      </c>
      <c r="G33" s="5" t="n">
        <v>60</v>
      </c>
      <c r="H33" s="5" t="s">
        <v>190</v>
      </c>
      <c r="I33" s="5" t="s">
        <v>285</v>
      </c>
      <c r="J33" s="5" t="s">
        <v>286</v>
      </c>
    </row>
    <row r="34" customFormat="false" ht="15" hidden="false" customHeight="false" outlineLevel="0" collapsed="false">
      <c r="A34" s="5" t="s">
        <v>287</v>
      </c>
      <c r="B34" s="10" t="n">
        <v>46205</v>
      </c>
      <c r="C34" s="5" t="s">
        <v>288</v>
      </c>
      <c r="D34" s="5" t="s">
        <v>97</v>
      </c>
      <c r="E34" s="5" t="s">
        <v>98</v>
      </c>
      <c r="F34" s="5" t="s">
        <v>46</v>
      </c>
      <c r="G34" s="5" t="n">
        <v>60</v>
      </c>
      <c r="H34" s="5" t="s">
        <v>190</v>
      </c>
      <c r="I34" s="5" t="s">
        <v>289</v>
      </c>
      <c r="J34" s="5" t="s">
        <v>290</v>
      </c>
    </row>
    <row r="35" customFormat="false" ht="15" hidden="false" customHeight="false" outlineLevel="0" collapsed="false">
      <c r="A35" s="5" t="s">
        <v>291</v>
      </c>
      <c r="B35" s="10" t="n">
        <v>46208</v>
      </c>
      <c r="C35" s="5" t="s">
        <v>288</v>
      </c>
      <c r="D35" s="5" t="s">
        <v>118</v>
      </c>
      <c r="E35" s="5" t="s">
        <v>119</v>
      </c>
      <c r="F35" s="5" t="s">
        <v>46</v>
      </c>
      <c r="G35" s="5" t="n">
        <v>30</v>
      </c>
      <c r="H35" s="5" t="s">
        <v>190</v>
      </c>
      <c r="I35" s="5" t="s">
        <v>292</v>
      </c>
      <c r="J35" s="5" t="s">
        <v>293</v>
      </c>
    </row>
    <row r="36" customFormat="false" ht="15" hidden="false" customHeight="false" outlineLevel="0" collapsed="false">
      <c r="A36" s="5" t="s">
        <v>294</v>
      </c>
      <c r="B36" s="10" t="n">
        <v>46208</v>
      </c>
      <c r="C36" s="5" t="s">
        <v>288</v>
      </c>
      <c r="D36" s="5" t="s">
        <v>55</v>
      </c>
      <c r="E36" s="5" t="s">
        <v>56</v>
      </c>
      <c r="F36" s="5" t="s">
        <v>54</v>
      </c>
      <c r="G36" s="5" t="n">
        <v>45</v>
      </c>
      <c r="H36" s="5" t="s">
        <v>190</v>
      </c>
      <c r="I36" s="5" t="s">
        <v>295</v>
      </c>
      <c r="J36" s="5" t="s">
        <v>296</v>
      </c>
    </row>
    <row r="37" customFormat="false" ht="15" hidden="false" customHeight="false" outlineLevel="0" collapsed="false">
      <c r="A37" s="5" t="s">
        <v>297</v>
      </c>
      <c r="B37" s="10" t="n">
        <v>46210</v>
      </c>
      <c r="C37" s="5" t="s">
        <v>288</v>
      </c>
      <c r="D37" s="5" t="s">
        <v>126</v>
      </c>
      <c r="E37" s="5" t="s">
        <v>127</v>
      </c>
      <c r="F37" s="5" t="s">
        <v>110</v>
      </c>
      <c r="G37" s="5" t="n">
        <v>0</v>
      </c>
      <c r="H37" s="5" t="s">
        <v>190</v>
      </c>
      <c r="I37" s="5" t="s">
        <v>298</v>
      </c>
      <c r="J37" s="5" t="s">
        <v>299</v>
      </c>
    </row>
    <row r="38" customFormat="false" ht="15" hidden="false" customHeight="false" outlineLevel="0" collapsed="false">
      <c r="A38" s="5" t="s">
        <v>300</v>
      </c>
      <c r="B38" s="10" t="n">
        <v>46211</v>
      </c>
      <c r="C38" s="5" t="s">
        <v>288</v>
      </c>
      <c r="D38" s="5" t="s">
        <v>126</v>
      </c>
      <c r="E38" s="5" t="s">
        <v>127</v>
      </c>
      <c r="F38" s="5" t="s">
        <v>110</v>
      </c>
      <c r="G38" s="5" t="n">
        <v>0</v>
      </c>
      <c r="H38" s="5" t="s">
        <v>190</v>
      </c>
      <c r="I38" s="5" t="s">
        <v>301</v>
      </c>
      <c r="J38" s="5" t="s">
        <v>302</v>
      </c>
    </row>
    <row r="39" customFormat="false" ht="15" hidden="false" customHeight="false" outlineLevel="0" collapsed="false">
      <c r="A39" s="5" t="s">
        <v>303</v>
      </c>
      <c r="B39" s="10" t="n">
        <v>46211</v>
      </c>
      <c r="C39" s="5" t="s">
        <v>288</v>
      </c>
      <c r="D39" s="5" t="s">
        <v>69</v>
      </c>
      <c r="E39" s="5" t="s">
        <v>70</v>
      </c>
      <c r="F39" s="5" t="s">
        <v>46</v>
      </c>
      <c r="G39" s="5" t="n">
        <v>15</v>
      </c>
      <c r="H39" s="5" t="s">
        <v>190</v>
      </c>
      <c r="I39" s="5" t="s">
        <v>304</v>
      </c>
      <c r="J39" s="5" t="s">
        <v>305</v>
      </c>
    </row>
    <row r="40" customFormat="false" ht="15" hidden="false" customHeight="false" outlineLevel="0" collapsed="false">
      <c r="A40" s="5" t="s">
        <v>306</v>
      </c>
      <c r="B40" s="10" t="n">
        <v>46211</v>
      </c>
      <c r="C40" s="5" t="s">
        <v>288</v>
      </c>
      <c r="D40" s="5" t="s">
        <v>126</v>
      </c>
      <c r="E40" s="5" t="s">
        <v>127</v>
      </c>
      <c r="F40" s="5" t="s">
        <v>110</v>
      </c>
      <c r="G40" s="5" t="n">
        <v>0</v>
      </c>
      <c r="H40" s="5" t="s">
        <v>190</v>
      </c>
      <c r="I40" s="5" t="s">
        <v>307</v>
      </c>
      <c r="J40" s="5" t="s">
        <v>308</v>
      </c>
    </row>
    <row r="41" customFormat="false" ht="15" hidden="false" customHeight="false" outlineLevel="0" collapsed="false">
      <c r="A41" s="5" t="s">
        <v>309</v>
      </c>
      <c r="B41" s="10" t="n">
        <v>46215</v>
      </c>
      <c r="C41" s="5" t="s">
        <v>288</v>
      </c>
      <c r="D41" s="5" t="s">
        <v>90</v>
      </c>
      <c r="E41" s="5" t="s">
        <v>91</v>
      </c>
      <c r="F41" s="5" t="s">
        <v>46</v>
      </c>
      <c r="G41" s="5" t="n">
        <v>15</v>
      </c>
      <c r="H41" s="5" t="s">
        <v>190</v>
      </c>
      <c r="I41" s="5" t="s">
        <v>310</v>
      </c>
      <c r="J41" s="5" t="s">
        <v>311</v>
      </c>
    </row>
    <row r="42" customFormat="false" ht="15" hidden="false" customHeight="false" outlineLevel="0" collapsed="false">
      <c r="A42" s="5" t="s">
        <v>312</v>
      </c>
      <c r="B42" s="10" t="n">
        <v>46216</v>
      </c>
      <c r="C42" s="5" t="s">
        <v>288</v>
      </c>
      <c r="D42" s="5" t="s">
        <v>62</v>
      </c>
      <c r="E42" s="5" t="s">
        <v>63</v>
      </c>
      <c r="F42" s="5" t="s">
        <v>54</v>
      </c>
      <c r="G42" s="5" t="n">
        <v>30</v>
      </c>
      <c r="H42" s="5" t="s">
        <v>190</v>
      </c>
      <c r="I42" s="5" t="s">
        <v>313</v>
      </c>
      <c r="J42" s="5" t="s">
        <v>314</v>
      </c>
    </row>
    <row r="43" customFormat="false" ht="15" hidden="false" customHeight="false" outlineLevel="0" collapsed="false">
      <c r="A43" s="5" t="s">
        <v>315</v>
      </c>
      <c r="B43" s="10" t="n">
        <v>46217</v>
      </c>
      <c r="C43" s="5" t="s">
        <v>288</v>
      </c>
      <c r="D43" s="5" t="s">
        <v>111</v>
      </c>
      <c r="E43" s="5" t="s">
        <v>112</v>
      </c>
      <c r="F43" s="5" t="s">
        <v>46</v>
      </c>
      <c r="G43" s="5" t="n">
        <v>45</v>
      </c>
      <c r="H43" s="5" t="s">
        <v>190</v>
      </c>
      <c r="I43" s="5" t="s">
        <v>316</v>
      </c>
      <c r="J43" s="5" t="s">
        <v>317</v>
      </c>
    </row>
    <row r="44" customFormat="false" ht="15" hidden="false" customHeight="false" outlineLevel="0" collapsed="false">
      <c r="A44" s="5" t="s">
        <v>318</v>
      </c>
      <c r="B44" s="10" t="n">
        <v>46218</v>
      </c>
      <c r="C44" s="5" t="s">
        <v>288</v>
      </c>
      <c r="D44" s="5" t="s">
        <v>38</v>
      </c>
      <c r="E44" s="5" t="s">
        <v>39</v>
      </c>
      <c r="F44" s="5" t="s">
        <v>46</v>
      </c>
      <c r="G44" s="5" t="n">
        <v>30</v>
      </c>
      <c r="H44" s="5" t="s">
        <v>190</v>
      </c>
      <c r="I44" s="5" t="s">
        <v>319</v>
      </c>
      <c r="J44" s="5" t="s">
        <v>320</v>
      </c>
    </row>
    <row r="45" customFormat="false" ht="15" hidden="false" customHeight="false" outlineLevel="0" collapsed="false">
      <c r="A45" s="5" t="s">
        <v>321</v>
      </c>
      <c r="B45" s="10" t="n">
        <v>46219</v>
      </c>
      <c r="C45" s="5" t="s">
        <v>288</v>
      </c>
      <c r="D45" s="5" t="s">
        <v>76</v>
      </c>
      <c r="E45" s="5" t="s">
        <v>77</v>
      </c>
      <c r="F45" s="5" t="s">
        <v>46</v>
      </c>
      <c r="G45" s="5" t="n">
        <v>30</v>
      </c>
      <c r="H45" s="5" t="s">
        <v>190</v>
      </c>
      <c r="I45" s="5" t="s">
        <v>322</v>
      </c>
      <c r="J45" s="5" t="s">
        <v>323</v>
      </c>
    </row>
    <row r="46" customFormat="false" ht="15" hidden="false" customHeight="false" outlineLevel="0" collapsed="false">
      <c r="A46" s="5" t="s">
        <v>324</v>
      </c>
      <c r="B46" s="10" t="n">
        <v>46223</v>
      </c>
      <c r="C46" s="5" t="s">
        <v>288</v>
      </c>
      <c r="D46" s="5" t="s">
        <v>38</v>
      </c>
      <c r="E46" s="5" t="s">
        <v>39</v>
      </c>
      <c r="F46" s="5" t="s">
        <v>46</v>
      </c>
      <c r="G46" s="5" t="n">
        <v>30</v>
      </c>
      <c r="H46" s="5" t="s">
        <v>190</v>
      </c>
      <c r="I46" s="5" t="s">
        <v>325</v>
      </c>
      <c r="J46" s="5" t="s">
        <v>326</v>
      </c>
    </row>
    <row r="47" customFormat="false" ht="15" hidden="false" customHeight="false" outlineLevel="0" collapsed="false">
      <c r="A47" s="5" t="s">
        <v>327</v>
      </c>
      <c r="B47" s="10" t="n">
        <v>46224</v>
      </c>
      <c r="C47" s="5" t="s">
        <v>288</v>
      </c>
      <c r="D47" s="5" t="s">
        <v>126</v>
      </c>
      <c r="E47" s="5" t="s">
        <v>127</v>
      </c>
      <c r="F47" s="5" t="s">
        <v>110</v>
      </c>
      <c r="G47" s="5" t="n">
        <v>0</v>
      </c>
      <c r="H47" s="5" t="s">
        <v>190</v>
      </c>
      <c r="I47" s="5" t="s">
        <v>328</v>
      </c>
      <c r="J47" s="5" t="s">
        <v>329</v>
      </c>
    </row>
    <row r="48" customFormat="false" ht="15" hidden="false" customHeight="false" outlineLevel="0" collapsed="false">
      <c r="A48" s="5" t="s">
        <v>330</v>
      </c>
      <c r="B48" s="10" t="n">
        <v>46226</v>
      </c>
      <c r="C48" s="5" t="s">
        <v>288</v>
      </c>
      <c r="D48" s="5" t="s">
        <v>83</v>
      </c>
      <c r="E48" s="5" t="s">
        <v>84</v>
      </c>
      <c r="F48" s="5" t="s">
        <v>54</v>
      </c>
      <c r="G48" s="5" t="n">
        <v>60</v>
      </c>
      <c r="H48" s="5" t="s">
        <v>190</v>
      </c>
      <c r="I48" s="5" t="s">
        <v>331</v>
      </c>
      <c r="J48" s="5" t="s">
        <v>332</v>
      </c>
    </row>
    <row r="49" customFormat="false" ht="15" hidden="false" customHeight="false" outlineLevel="0" collapsed="false">
      <c r="A49" s="5" t="s">
        <v>333</v>
      </c>
      <c r="B49" s="10" t="n">
        <v>46231</v>
      </c>
      <c r="C49" s="5" t="s">
        <v>288</v>
      </c>
      <c r="D49" s="5" t="s">
        <v>104</v>
      </c>
      <c r="E49" s="5" t="s">
        <v>105</v>
      </c>
      <c r="F49" s="5" t="s">
        <v>110</v>
      </c>
      <c r="G49" s="5" t="n">
        <v>30</v>
      </c>
      <c r="H49" s="5" t="s">
        <v>190</v>
      </c>
      <c r="I49" s="5" t="s">
        <v>334</v>
      </c>
      <c r="J49" s="5" t="s">
        <v>335</v>
      </c>
    </row>
    <row r="50" customFormat="false" ht="15" hidden="false" customHeight="false" outlineLevel="0" collapsed="false">
      <c r="A50" s="5" t="s">
        <v>336</v>
      </c>
      <c r="B50" s="10" t="n">
        <v>46233</v>
      </c>
      <c r="C50" s="5" t="s">
        <v>288</v>
      </c>
      <c r="D50" s="5" t="s">
        <v>126</v>
      </c>
      <c r="E50" s="5" t="s">
        <v>127</v>
      </c>
      <c r="F50" s="5" t="s">
        <v>110</v>
      </c>
      <c r="G50" s="5" t="n">
        <v>0</v>
      </c>
      <c r="H50" s="5" t="s">
        <v>190</v>
      </c>
      <c r="I50" s="5" t="s">
        <v>337</v>
      </c>
      <c r="J50" s="5" t="s">
        <v>338</v>
      </c>
    </row>
    <row r="51" customFormat="false" ht="15" hidden="false" customHeight="false" outlineLevel="0" collapsed="false">
      <c r="A51" s="5" t="s">
        <v>339</v>
      </c>
      <c r="B51" s="10" t="n">
        <v>46233</v>
      </c>
      <c r="C51" s="5" t="s">
        <v>288</v>
      </c>
      <c r="D51" s="5" t="s">
        <v>126</v>
      </c>
      <c r="E51" s="5" t="s">
        <v>127</v>
      </c>
      <c r="F51" s="5" t="s">
        <v>110</v>
      </c>
      <c r="G51" s="5" t="n">
        <v>0</v>
      </c>
      <c r="H51" s="5" t="s">
        <v>190</v>
      </c>
      <c r="I51" s="5" t="s">
        <v>340</v>
      </c>
      <c r="J51" s="5" t="s">
        <v>341</v>
      </c>
    </row>
    <row r="52" customFormat="false" ht="15" hidden="false" customHeight="false" outlineLevel="0" collapsed="false">
      <c r="A52" s="5" t="s">
        <v>342</v>
      </c>
      <c r="B52" s="10" t="n">
        <v>46233</v>
      </c>
      <c r="C52" s="5" t="s">
        <v>288</v>
      </c>
      <c r="D52" s="5" t="s">
        <v>47</v>
      </c>
      <c r="E52" s="5" t="s">
        <v>48</v>
      </c>
      <c r="F52" s="5" t="s">
        <v>54</v>
      </c>
      <c r="G52" s="5" t="n">
        <v>45</v>
      </c>
      <c r="H52" s="5" t="s">
        <v>190</v>
      </c>
      <c r="I52" s="5" t="s">
        <v>343</v>
      </c>
      <c r="J52" s="5" t="s">
        <v>344</v>
      </c>
    </row>
    <row r="53" customFormat="false" ht="15" hidden="false" customHeight="false" outlineLevel="0" collapsed="false">
      <c r="A53" s="5" t="s">
        <v>345</v>
      </c>
      <c r="B53" s="10" t="n">
        <v>46238</v>
      </c>
      <c r="C53" s="5" t="s">
        <v>346</v>
      </c>
      <c r="D53" s="5" t="s">
        <v>126</v>
      </c>
      <c r="E53" s="5" t="s">
        <v>127</v>
      </c>
      <c r="F53" s="5" t="s">
        <v>110</v>
      </c>
      <c r="G53" s="5" t="n">
        <v>0</v>
      </c>
      <c r="H53" s="5" t="s">
        <v>190</v>
      </c>
      <c r="I53" s="5" t="s">
        <v>347</v>
      </c>
      <c r="J53" s="5" t="s">
        <v>348</v>
      </c>
    </row>
    <row r="54" customFormat="false" ht="15" hidden="false" customHeight="false" outlineLevel="0" collapsed="false">
      <c r="A54" s="5" t="s">
        <v>349</v>
      </c>
      <c r="B54" s="10" t="n">
        <v>46239</v>
      </c>
      <c r="C54" s="5" t="s">
        <v>346</v>
      </c>
      <c r="D54" s="5" t="s">
        <v>55</v>
      </c>
      <c r="E54" s="5" t="s">
        <v>56</v>
      </c>
      <c r="F54" s="5" t="s">
        <v>54</v>
      </c>
      <c r="G54" s="5" t="n">
        <v>45</v>
      </c>
      <c r="H54" s="5" t="s">
        <v>190</v>
      </c>
      <c r="I54" s="5" t="s">
        <v>350</v>
      </c>
      <c r="J54" s="5" t="s">
        <v>351</v>
      </c>
    </row>
    <row r="55" customFormat="false" ht="15" hidden="false" customHeight="false" outlineLevel="0" collapsed="false">
      <c r="A55" s="5" t="s">
        <v>352</v>
      </c>
      <c r="B55" s="10" t="n">
        <v>46240</v>
      </c>
      <c r="C55" s="5" t="s">
        <v>346</v>
      </c>
      <c r="D55" s="5" t="s">
        <v>76</v>
      </c>
      <c r="E55" s="5" t="s">
        <v>77</v>
      </c>
      <c r="F55" s="5" t="s">
        <v>46</v>
      </c>
      <c r="G55" s="5" t="n">
        <v>30</v>
      </c>
      <c r="H55" s="5" t="s">
        <v>190</v>
      </c>
      <c r="I55" s="5" t="s">
        <v>353</v>
      </c>
      <c r="J55" s="5" t="s">
        <v>354</v>
      </c>
    </row>
    <row r="56" customFormat="false" ht="15" hidden="false" customHeight="false" outlineLevel="0" collapsed="false">
      <c r="A56" s="5" t="s">
        <v>355</v>
      </c>
      <c r="B56" s="10" t="n">
        <v>46243</v>
      </c>
      <c r="C56" s="5" t="s">
        <v>346</v>
      </c>
      <c r="D56" s="5" t="s">
        <v>118</v>
      </c>
      <c r="E56" s="5" t="s">
        <v>119</v>
      </c>
      <c r="F56" s="5" t="s">
        <v>46</v>
      </c>
      <c r="G56" s="5" t="n">
        <v>30</v>
      </c>
      <c r="H56" s="5" t="s">
        <v>190</v>
      </c>
      <c r="I56" s="5" t="s">
        <v>356</v>
      </c>
      <c r="J56" s="5" t="s">
        <v>357</v>
      </c>
    </row>
    <row r="57" customFormat="false" ht="15" hidden="false" customHeight="false" outlineLevel="0" collapsed="false">
      <c r="A57" s="5" t="s">
        <v>358</v>
      </c>
      <c r="B57" s="10" t="n">
        <v>46243</v>
      </c>
      <c r="C57" s="5" t="s">
        <v>346</v>
      </c>
      <c r="D57" s="5" t="s">
        <v>83</v>
      </c>
      <c r="E57" s="5" t="s">
        <v>84</v>
      </c>
      <c r="F57" s="5" t="s">
        <v>54</v>
      </c>
      <c r="G57" s="5" t="n">
        <v>60</v>
      </c>
      <c r="H57" s="5" t="s">
        <v>190</v>
      </c>
      <c r="I57" s="5" t="s">
        <v>359</v>
      </c>
      <c r="J57" s="5" t="s">
        <v>360</v>
      </c>
    </row>
    <row r="58" customFormat="false" ht="15" hidden="false" customHeight="false" outlineLevel="0" collapsed="false">
      <c r="A58" s="5" t="s">
        <v>361</v>
      </c>
      <c r="B58" s="10" t="n">
        <v>46245</v>
      </c>
      <c r="C58" s="5" t="s">
        <v>346</v>
      </c>
      <c r="D58" s="5" t="s">
        <v>126</v>
      </c>
      <c r="E58" s="5" t="s">
        <v>127</v>
      </c>
      <c r="F58" s="5" t="s">
        <v>110</v>
      </c>
      <c r="G58" s="5" t="n">
        <v>0</v>
      </c>
      <c r="H58" s="5" t="s">
        <v>190</v>
      </c>
      <c r="I58" s="5" t="s">
        <v>362</v>
      </c>
      <c r="J58" s="5" t="s">
        <v>363</v>
      </c>
    </row>
    <row r="59" customFormat="false" ht="15" hidden="false" customHeight="false" outlineLevel="0" collapsed="false">
      <c r="A59" s="5" t="s">
        <v>364</v>
      </c>
      <c r="B59" s="10" t="n">
        <v>46246</v>
      </c>
      <c r="C59" s="5" t="s">
        <v>346</v>
      </c>
      <c r="D59" s="5" t="s">
        <v>126</v>
      </c>
      <c r="E59" s="5" t="s">
        <v>127</v>
      </c>
      <c r="F59" s="5" t="s">
        <v>110</v>
      </c>
      <c r="G59" s="5" t="n">
        <v>0</v>
      </c>
      <c r="H59" s="5" t="s">
        <v>190</v>
      </c>
      <c r="I59" s="5" t="s">
        <v>365</v>
      </c>
      <c r="J59" s="5" t="s">
        <v>366</v>
      </c>
    </row>
    <row r="60" customFormat="false" ht="15" hidden="false" customHeight="false" outlineLevel="0" collapsed="false">
      <c r="A60" s="5" t="s">
        <v>367</v>
      </c>
      <c r="B60" s="10" t="n">
        <v>46246</v>
      </c>
      <c r="C60" s="5" t="s">
        <v>346</v>
      </c>
      <c r="D60" s="5" t="s">
        <v>69</v>
      </c>
      <c r="E60" s="5" t="s">
        <v>70</v>
      </c>
      <c r="F60" s="5" t="s">
        <v>46</v>
      </c>
      <c r="G60" s="5" t="n">
        <v>15</v>
      </c>
      <c r="H60" s="5" t="s">
        <v>190</v>
      </c>
      <c r="I60" s="5" t="s">
        <v>368</v>
      </c>
      <c r="J60" s="5" t="s">
        <v>369</v>
      </c>
    </row>
    <row r="61" customFormat="false" ht="15" hidden="false" customHeight="false" outlineLevel="0" collapsed="false">
      <c r="A61" s="5" t="s">
        <v>370</v>
      </c>
      <c r="B61" s="10" t="n">
        <v>46247</v>
      </c>
      <c r="C61" s="5" t="s">
        <v>346</v>
      </c>
      <c r="D61" s="5" t="s">
        <v>111</v>
      </c>
      <c r="E61" s="5" t="s">
        <v>112</v>
      </c>
      <c r="F61" s="5" t="s">
        <v>46</v>
      </c>
      <c r="G61" s="5" t="n">
        <v>45</v>
      </c>
      <c r="H61" s="5" t="s">
        <v>190</v>
      </c>
      <c r="I61" s="5" t="s">
        <v>371</v>
      </c>
      <c r="J61" s="5" t="s">
        <v>372</v>
      </c>
    </row>
    <row r="62" customFormat="false" ht="15" hidden="false" customHeight="false" outlineLevel="0" collapsed="false">
      <c r="A62" s="5" t="s">
        <v>373</v>
      </c>
      <c r="B62" s="10" t="n">
        <v>46251</v>
      </c>
      <c r="C62" s="5" t="s">
        <v>346</v>
      </c>
      <c r="D62" s="5" t="s">
        <v>97</v>
      </c>
      <c r="E62" s="5" t="s">
        <v>98</v>
      </c>
      <c r="F62" s="5" t="s">
        <v>46</v>
      </c>
      <c r="G62" s="5" t="n">
        <v>60</v>
      </c>
      <c r="H62" s="5" t="s">
        <v>190</v>
      </c>
      <c r="I62" s="5" t="s">
        <v>374</v>
      </c>
      <c r="J62" s="5" t="s">
        <v>375</v>
      </c>
    </row>
    <row r="63" customFormat="false" ht="15" hidden="false" customHeight="false" outlineLevel="0" collapsed="false">
      <c r="A63" s="5" t="s">
        <v>376</v>
      </c>
      <c r="B63" s="10" t="n">
        <v>46253</v>
      </c>
      <c r="C63" s="5" t="s">
        <v>346</v>
      </c>
      <c r="D63" s="5" t="s">
        <v>126</v>
      </c>
      <c r="E63" s="5" t="s">
        <v>127</v>
      </c>
      <c r="F63" s="5" t="s">
        <v>110</v>
      </c>
      <c r="G63" s="5" t="n">
        <v>0</v>
      </c>
      <c r="H63" s="5" t="s">
        <v>190</v>
      </c>
      <c r="I63" s="5" t="s">
        <v>377</v>
      </c>
      <c r="J63" s="5" t="s">
        <v>378</v>
      </c>
    </row>
    <row r="64" customFormat="false" ht="15" hidden="false" customHeight="false" outlineLevel="0" collapsed="false">
      <c r="A64" s="5" t="s">
        <v>379</v>
      </c>
      <c r="B64" s="10" t="n">
        <v>46253</v>
      </c>
      <c r="C64" s="5" t="s">
        <v>346</v>
      </c>
      <c r="D64" s="5" t="s">
        <v>104</v>
      </c>
      <c r="E64" s="5" t="s">
        <v>105</v>
      </c>
      <c r="F64" s="5" t="s">
        <v>110</v>
      </c>
      <c r="G64" s="5" t="n">
        <v>30</v>
      </c>
      <c r="H64" s="5" t="s">
        <v>190</v>
      </c>
      <c r="I64" s="5" t="s">
        <v>380</v>
      </c>
      <c r="J64" s="5" t="s">
        <v>381</v>
      </c>
    </row>
    <row r="65" customFormat="false" ht="15" hidden="false" customHeight="false" outlineLevel="0" collapsed="false">
      <c r="A65" s="5" t="s">
        <v>382</v>
      </c>
      <c r="B65" s="10" t="n">
        <v>46253</v>
      </c>
      <c r="C65" s="5" t="s">
        <v>346</v>
      </c>
      <c r="D65" s="5" t="s">
        <v>126</v>
      </c>
      <c r="E65" s="5" t="s">
        <v>127</v>
      </c>
      <c r="F65" s="5" t="s">
        <v>110</v>
      </c>
      <c r="G65" s="5" t="n">
        <v>0</v>
      </c>
      <c r="H65" s="5" t="s">
        <v>190</v>
      </c>
      <c r="I65" s="5" t="s">
        <v>383</v>
      </c>
      <c r="J65" s="5" t="s">
        <v>384</v>
      </c>
    </row>
    <row r="66" customFormat="false" ht="15" hidden="false" customHeight="false" outlineLevel="0" collapsed="false">
      <c r="A66" s="5" t="s">
        <v>385</v>
      </c>
      <c r="B66" s="10" t="n">
        <v>46254</v>
      </c>
      <c r="C66" s="5" t="s">
        <v>346</v>
      </c>
      <c r="D66" s="5" t="s">
        <v>38</v>
      </c>
      <c r="E66" s="5" t="s">
        <v>39</v>
      </c>
      <c r="F66" s="5" t="s">
        <v>46</v>
      </c>
      <c r="G66" s="5" t="n">
        <v>30</v>
      </c>
      <c r="H66" s="5" t="s">
        <v>190</v>
      </c>
      <c r="I66" s="5" t="s">
        <v>386</v>
      </c>
      <c r="J66" s="5" t="s">
        <v>387</v>
      </c>
    </row>
    <row r="67" customFormat="false" ht="15" hidden="false" customHeight="false" outlineLevel="0" collapsed="false">
      <c r="A67" s="5" t="s">
        <v>388</v>
      </c>
      <c r="B67" s="10" t="n">
        <v>46258</v>
      </c>
      <c r="C67" s="5" t="s">
        <v>346</v>
      </c>
      <c r="D67" s="5" t="s">
        <v>90</v>
      </c>
      <c r="E67" s="5" t="s">
        <v>91</v>
      </c>
      <c r="F67" s="5" t="s">
        <v>46</v>
      </c>
      <c r="G67" s="5" t="n">
        <v>15</v>
      </c>
      <c r="H67" s="5" t="s">
        <v>190</v>
      </c>
      <c r="I67" s="5" t="s">
        <v>389</v>
      </c>
      <c r="J67" s="5" t="s">
        <v>390</v>
      </c>
    </row>
    <row r="68" customFormat="false" ht="15" hidden="false" customHeight="false" outlineLevel="0" collapsed="false">
      <c r="A68" s="5" t="s">
        <v>391</v>
      </c>
      <c r="B68" s="10" t="n">
        <v>46260</v>
      </c>
      <c r="C68" s="5" t="s">
        <v>346</v>
      </c>
      <c r="D68" s="5" t="s">
        <v>62</v>
      </c>
      <c r="E68" s="5" t="s">
        <v>63</v>
      </c>
      <c r="F68" s="5" t="s">
        <v>54</v>
      </c>
      <c r="G68" s="5" t="n">
        <v>30</v>
      </c>
      <c r="H68" s="5" t="s">
        <v>190</v>
      </c>
      <c r="I68" s="5" t="s">
        <v>392</v>
      </c>
      <c r="J68" s="5" t="s">
        <v>393</v>
      </c>
    </row>
    <row r="69" customFormat="false" ht="15" hidden="false" customHeight="false" outlineLevel="0" collapsed="false">
      <c r="A69" s="5" t="s">
        <v>394</v>
      </c>
      <c r="B69" s="10" t="n">
        <v>46260</v>
      </c>
      <c r="C69" s="5" t="s">
        <v>346</v>
      </c>
      <c r="D69" s="5" t="s">
        <v>47</v>
      </c>
      <c r="E69" s="5" t="s">
        <v>48</v>
      </c>
      <c r="F69" s="5" t="s">
        <v>54</v>
      </c>
      <c r="G69" s="5" t="n">
        <v>45</v>
      </c>
      <c r="H69" s="5" t="s">
        <v>190</v>
      </c>
      <c r="I69" s="5" t="s">
        <v>395</v>
      </c>
      <c r="J69" s="5" t="s">
        <v>396</v>
      </c>
    </row>
    <row r="70" customFormat="false" ht="15" hidden="false" customHeight="false" outlineLevel="0" collapsed="false">
      <c r="A70" s="5" t="s">
        <v>397</v>
      </c>
      <c r="B70" s="10" t="n">
        <v>46265</v>
      </c>
      <c r="C70" s="5" t="s">
        <v>346</v>
      </c>
      <c r="D70" s="5" t="s">
        <v>83</v>
      </c>
      <c r="E70" s="5" t="s">
        <v>84</v>
      </c>
      <c r="F70" s="5" t="s">
        <v>54</v>
      </c>
      <c r="G70" s="5" t="n">
        <v>60</v>
      </c>
      <c r="H70" s="5" t="s">
        <v>190</v>
      </c>
      <c r="I70" s="5" t="s">
        <v>398</v>
      </c>
      <c r="J70" s="5" t="s">
        <v>399</v>
      </c>
    </row>
    <row r="71" customFormat="false" ht="15" hidden="false" customHeight="false" outlineLevel="0" collapsed="false">
      <c r="A71" s="5" t="s">
        <v>400</v>
      </c>
      <c r="B71" s="10" t="n">
        <v>46272</v>
      </c>
      <c r="C71" s="5" t="s">
        <v>401</v>
      </c>
      <c r="D71" s="5" t="s">
        <v>47</v>
      </c>
      <c r="E71" s="5" t="s">
        <v>48</v>
      </c>
      <c r="F71" s="5" t="s">
        <v>54</v>
      </c>
      <c r="G71" s="5" t="n">
        <v>45</v>
      </c>
      <c r="H71" s="5" t="s">
        <v>190</v>
      </c>
      <c r="I71" s="5" t="s">
        <v>402</v>
      </c>
      <c r="J71" s="5" t="s">
        <v>403</v>
      </c>
    </row>
    <row r="72" customFormat="false" ht="15" hidden="false" customHeight="false" outlineLevel="0" collapsed="false">
      <c r="A72" s="5" t="s">
        <v>404</v>
      </c>
      <c r="B72" s="10" t="n">
        <v>46273</v>
      </c>
      <c r="C72" s="5" t="s">
        <v>401</v>
      </c>
      <c r="D72" s="5" t="s">
        <v>126</v>
      </c>
      <c r="E72" s="5" t="s">
        <v>127</v>
      </c>
      <c r="F72" s="5" t="s">
        <v>110</v>
      </c>
      <c r="G72" s="5" t="n">
        <v>0</v>
      </c>
      <c r="H72" s="5" t="s">
        <v>190</v>
      </c>
      <c r="I72" s="5" t="s">
        <v>405</v>
      </c>
      <c r="J72" s="5" t="s">
        <v>406</v>
      </c>
    </row>
    <row r="73" customFormat="false" ht="15" hidden="false" customHeight="false" outlineLevel="0" collapsed="false">
      <c r="A73" s="5" t="s">
        <v>407</v>
      </c>
      <c r="B73" s="10" t="n">
        <v>46273</v>
      </c>
      <c r="C73" s="5" t="s">
        <v>401</v>
      </c>
      <c r="D73" s="5" t="s">
        <v>126</v>
      </c>
      <c r="E73" s="5" t="s">
        <v>127</v>
      </c>
      <c r="F73" s="5" t="s">
        <v>110</v>
      </c>
      <c r="G73" s="5" t="n">
        <v>0</v>
      </c>
      <c r="H73" s="5" t="s">
        <v>190</v>
      </c>
      <c r="I73" s="5" t="s">
        <v>408</v>
      </c>
      <c r="J73" s="5" t="s">
        <v>409</v>
      </c>
    </row>
    <row r="74" customFormat="false" ht="15" hidden="false" customHeight="false" outlineLevel="0" collapsed="false">
      <c r="A74" s="5" t="s">
        <v>410</v>
      </c>
      <c r="B74" s="10" t="n">
        <v>46274</v>
      </c>
      <c r="C74" s="5" t="s">
        <v>401</v>
      </c>
      <c r="D74" s="5" t="s">
        <v>38</v>
      </c>
      <c r="E74" s="5" t="s">
        <v>39</v>
      </c>
      <c r="F74" s="5" t="s">
        <v>46</v>
      </c>
      <c r="G74" s="5" t="n">
        <v>30</v>
      </c>
      <c r="H74" s="5" t="s">
        <v>190</v>
      </c>
      <c r="I74" s="5" t="s">
        <v>411</v>
      </c>
      <c r="J74" s="5" t="s">
        <v>412</v>
      </c>
    </row>
    <row r="75" customFormat="false" ht="15" hidden="false" customHeight="false" outlineLevel="0" collapsed="false">
      <c r="A75" s="5" t="s">
        <v>413</v>
      </c>
      <c r="B75" s="10" t="n">
        <v>46278</v>
      </c>
      <c r="C75" s="5" t="s">
        <v>401</v>
      </c>
      <c r="D75" s="5" t="s">
        <v>126</v>
      </c>
      <c r="E75" s="5" t="s">
        <v>127</v>
      </c>
      <c r="F75" s="5" t="s">
        <v>110</v>
      </c>
      <c r="G75" s="5" t="n">
        <v>0</v>
      </c>
      <c r="H75" s="5" t="s">
        <v>190</v>
      </c>
      <c r="I75" s="5" t="s">
        <v>414</v>
      </c>
      <c r="J75" s="5" t="s">
        <v>415</v>
      </c>
    </row>
    <row r="76" customFormat="false" ht="15" hidden="false" customHeight="false" outlineLevel="0" collapsed="false">
      <c r="A76" s="5" t="s">
        <v>416</v>
      </c>
      <c r="B76" s="10" t="n">
        <v>46278</v>
      </c>
      <c r="C76" s="5" t="s">
        <v>401</v>
      </c>
      <c r="D76" s="5" t="s">
        <v>126</v>
      </c>
      <c r="E76" s="5" t="s">
        <v>127</v>
      </c>
      <c r="F76" s="5" t="s">
        <v>110</v>
      </c>
      <c r="G76" s="5" t="n">
        <v>0</v>
      </c>
      <c r="H76" s="5" t="s">
        <v>190</v>
      </c>
      <c r="I76" s="5" t="s">
        <v>417</v>
      </c>
      <c r="J76" s="5" t="s">
        <v>418</v>
      </c>
    </row>
    <row r="77" customFormat="false" ht="15" hidden="false" customHeight="false" outlineLevel="0" collapsed="false">
      <c r="A77" s="5" t="s">
        <v>419</v>
      </c>
      <c r="B77" s="10" t="n">
        <v>46279</v>
      </c>
      <c r="C77" s="5" t="s">
        <v>401</v>
      </c>
      <c r="D77" s="5" t="s">
        <v>90</v>
      </c>
      <c r="E77" s="5" t="s">
        <v>91</v>
      </c>
      <c r="F77" s="5" t="s">
        <v>46</v>
      </c>
      <c r="G77" s="5" t="n">
        <v>15</v>
      </c>
      <c r="H77" s="5" t="s">
        <v>420</v>
      </c>
      <c r="I77" s="5" t="s">
        <v>421</v>
      </c>
      <c r="J77" s="5" t="s">
        <v>422</v>
      </c>
    </row>
    <row r="78" customFormat="false" ht="15" hidden="false" customHeight="false" outlineLevel="0" collapsed="false">
      <c r="A78" s="5" t="s">
        <v>423</v>
      </c>
      <c r="B78" s="10" t="n">
        <v>46279</v>
      </c>
      <c r="C78" s="5" t="s">
        <v>401</v>
      </c>
      <c r="D78" s="5" t="s">
        <v>104</v>
      </c>
      <c r="E78" s="5" t="s">
        <v>105</v>
      </c>
      <c r="F78" s="5" t="s">
        <v>110</v>
      </c>
      <c r="G78" s="5" t="n">
        <v>30</v>
      </c>
      <c r="H78" s="5" t="s">
        <v>420</v>
      </c>
      <c r="I78" s="5" t="s">
        <v>424</v>
      </c>
      <c r="J78" s="5" t="s">
        <v>425</v>
      </c>
    </row>
    <row r="79" customFormat="false" ht="15" hidden="false" customHeight="false" outlineLevel="0" collapsed="false">
      <c r="A79" s="5" t="s">
        <v>426</v>
      </c>
      <c r="B79" s="10" t="n">
        <v>46280</v>
      </c>
      <c r="C79" s="5" t="s">
        <v>401</v>
      </c>
      <c r="D79" s="5" t="s">
        <v>111</v>
      </c>
      <c r="E79" s="5" t="s">
        <v>112</v>
      </c>
      <c r="F79" s="5" t="s">
        <v>46</v>
      </c>
      <c r="G79" s="5" t="n">
        <v>45</v>
      </c>
      <c r="H79" s="5" t="s">
        <v>190</v>
      </c>
      <c r="I79" s="5" t="s">
        <v>427</v>
      </c>
      <c r="J79" s="5" t="s">
        <v>428</v>
      </c>
    </row>
    <row r="80" customFormat="false" ht="15" hidden="false" customHeight="false" outlineLevel="0" collapsed="false">
      <c r="A80" s="5" t="s">
        <v>429</v>
      </c>
      <c r="B80" s="10" t="n">
        <v>46286</v>
      </c>
      <c r="C80" s="5" t="s">
        <v>401</v>
      </c>
      <c r="D80" s="5" t="s">
        <v>118</v>
      </c>
      <c r="E80" s="5" t="s">
        <v>119</v>
      </c>
      <c r="F80" s="5" t="s">
        <v>46</v>
      </c>
      <c r="G80" s="5" t="n">
        <v>30</v>
      </c>
      <c r="H80" s="5" t="s">
        <v>190</v>
      </c>
      <c r="I80" s="5" t="s">
        <v>430</v>
      </c>
      <c r="J80" s="5" t="s">
        <v>431</v>
      </c>
    </row>
    <row r="81" customFormat="false" ht="15" hidden="false" customHeight="false" outlineLevel="0" collapsed="false">
      <c r="A81" s="5" t="s">
        <v>432</v>
      </c>
      <c r="B81" s="10" t="n">
        <v>46287</v>
      </c>
      <c r="C81" s="5" t="s">
        <v>401</v>
      </c>
      <c r="D81" s="5" t="s">
        <v>69</v>
      </c>
      <c r="E81" s="5" t="s">
        <v>70</v>
      </c>
      <c r="F81" s="5" t="s">
        <v>46</v>
      </c>
      <c r="G81" s="5" t="n">
        <v>15</v>
      </c>
      <c r="H81" s="5" t="s">
        <v>190</v>
      </c>
      <c r="I81" s="5" t="s">
        <v>433</v>
      </c>
      <c r="J81" s="5" t="s">
        <v>434</v>
      </c>
    </row>
    <row r="82" customFormat="false" ht="15" hidden="false" customHeight="false" outlineLevel="0" collapsed="false">
      <c r="A82" s="5" t="s">
        <v>435</v>
      </c>
      <c r="B82" s="10" t="n">
        <v>46288</v>
      </c>
      <c r="C82" s="5" t="s">
        <v>401</v>
      </c>
      <c r="D82" s="5" t="s">
        <v>97</v>
      </c>
      <c r="E82" s="5" t="s">
        <v>98</v>
      </c>
      <c r="F82" s="5" t="s">
        <v>46</v>
      </c>
      <c r="G82" s="5" t="n">
        <v>60</v>
      </c>
      <c r="H82" s="5" t="s">
        <v>190</v>
      </c>
      <c r="I82" s="5" t="s">
        <v>436</v>
      </c>
      <c r="J82" s="5" t="s">
        <v>437</v>
      </c>
    </row>
    <row r="83" customFormat="false" ht="15" hidden="false" customHeight="false" outlineLevel="0" collapsed="false">
      <c r="A83" s="5" t="s">
        <v>438</v>
      </c>
      <c r="B83" s="10" t="n">
        <v>46289</v>
      </c>
      <c r="C83" s="5" t="s">
        <v>401</v>
      </c>
      <c r="D83" s="5" t="s">
        <v>126</v>
      </c>
      <c r="E83" s="5" t="s">
        <v>127</v>
      </c>
      <c r="F83" s="5" t="s">
        <v>110</v>
      </c>
      <c r="G83" s="5" t="n">
        <v>0</v>
      </c>
      <c r="H83" s="5" t="s">
        <v>190</v>
      </c>
      <c r="I83" s="5" t="s">
        <v>439</v>
      </c>
      <c r="J83" s="5" t="s">
        <v>440</v>
      </c>
    </row>
    <row r="84" customFormat="false" ht="15" hidden="false" customHeight="false" outlineLevel="0" collapsed="false">
      <c r="A84" s="5" t="s">
        <v>441</v>
      </c>
      <c r="B84" s="10" t="n">
        <v>46292</v>
      </c>
      <c r="C84" s="5" t="s">
        <v>401</v>
      </c>
      <c r="D84" s="5" t="s">
        <v>62</v>
      </c>
      <c r="E84" s="5" t="s">
        <v>63</v>
      </c>
      <c r="F84" s="5" t="s">
        <v>54</v>
      </c>
      <c r="G84" s="5" t="n">
        <v>30</v>
      </c>
      <c r="H84" s="5" t="s">
        <v>442</v>
      </c>
      <c r="I84" s="5"/>
      <c r="J84" s="5"/>
    </row>
    <row r="85" customFormat="false" ht="15" hidden="false" customHeight="false" outlineLevel="0" collapsed="false">
      <c r="A85" s="5" t="s">
        <v>443</v>
      </c>
      <c r="B85" s="10" t="n">
        <v>46293</v>
      </c>
      <c r="C85" s="5" t="s">
        <v>401</v>
      </c>
      <c r="D85" s="5" t="s">
        <v>76</v>
      </c>
      <c r="E85" s="5" t="s">
        <v>77</v>
      </c>
      <c r="F85" s="5" t="s">
        <v>46</v>
      </c>
      <c r="G85" s="5" t="n">
        <v>30</v>
      </c>
      <c r="H85" s="5" t="s">
        <v>190</v>
      </c>
      <c r="I85" s="5" t="s">
        <v>444</v>
      </c>
      <c r="J85" s="5" t="s">
        <v>437</v>
      </c>
    </row>
    <row r="86" customFormat="false" ht="15" hidden="false" customHeight="false" outlineLevel="0" collapsed="false">
      <c r="A86" s="5" t="s">
        <v>445</v>
      </c>
      <c r="B86" s="10" t="n">
        <v>46294</v>
      </c>
      <c r="C86" s="5" t="s">
        <v>401</v>
      </c>
      <c r="D86" s="5" t="s">
        <v>83</v>
      </c>
      <c r="E86" s="5" t="s">
        <v>84</v>
      </c>
      <c r="F86" s="5" t="s">
        <v>54</v>
      </c>
      <c r="G86" s="5" t="n">
        <v>60</v>
      </c>
      <c r="H86" s="5" t="s">
        <v>190</v>
      </c>
      <c r="I86" s="5" t="s">
        <v>446</v>
      </c>
      <c r="J86" s="5" t="s">
        <v>447</v>
      </c>
    </row>
    <row r="87" customFormat="false" ht="15" hidden="false" customHeight="false" outlineLevel="0" collapsed="false">
      <c r="A87" s="5" t="s">
        <v>448</v>
      </c>
      <c r="B87" s="10" t="n">
        <v>46294</v>
      </c>
      <c r="C87" s="5" t="s">
        <v>401</v>
      </c>
      <c r="D87" s="5" t="s">
        <v>55</v>
      </c>
      <c r="E87" s="5" t="s">
        <v>56</v>
      </c>
      <c r="F87" s="5" t="s">
        <v>54</v>
      </c>
      <c r="G87" s="5" t="n">
        <v>45</v>
      </c>
      <c r="H87" s="5" t="s">
        <v>442</v>
      </c>
      <c r="I87" s="5"/>
      <c r="J87" s="5"/>
    </row>
    <row r="88" customFormat="false" ht="15" hidden="false" customHeight="false" outlineLevel="0" collapsed="false">
      <c r="A88" s="5" t="s">
        <v>449</v>
      </c>
      <c r="B88" s="10" t="n">
        <v>46294</v>
      </c>
      <c r="C88" s="5" t="s">
        <v>401</v>
      </c>
      <c r="D88" s="5" t="s">
        <v>126</v>
      </c>
      <c r="E88" s="5" t="s">
        <v>127</v>
      </c>
      <c r="F88" s="5" t="s">
        <v>110</v>
      </c>
      <c r="G88" s="5" t="n">
        <v>0</v>
      </c>
      <c r="H88" s="5" t="s">
        <v>442</v>
      </c>
      <c r="I88" s="5"/>
      <c r="J8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L2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21"/>
    <col collapsed="false" customWidth="true" hidden="false" outlineLevel="0" max="12" min="12" style="0" width="19"/>
  </cols>
  <sheetData>
    <row r="1" customFormat="false" ht="31.5" hidden="false" customHeight="true" outlineLevel="0" collapsed="false">
      <c r="A1" s="4" t="s">
        <v>180</v>
      </c>
      <c r="B1" s="4" t="s">
        <v>450</v>
      </c>
      <c r="C1" s="4" t="s">
        <v>451</v>
      </c>
      <c r="D1" s="4" t="s">
        <v>452</v>
      </c>
      <c r="E1" s="4" t="s">
        <v>453</v>
      </c>
      <c r="F1" s="4" t="s">
        <v>454</v>
      </c>
      <c r="G1" s="4" t="s">
        <v>455</v>
      </c>
      <c r="H1" s="4" t="s">
        <v>456</v>
      </c>
      <c r="I1" s="4" t="s">
        <v>457</v>
      </c>
      <c r="J1" s="4" t="s">
        <v>458</v>
      </c>
      <c r="K1" s="4" t="s">
        <v>459</v>
      </c>
      <c r="L1" s="4" t="s">
        <v>460</v>
      </c>
    </row>
    <row r="2" customFormat="false" ht="15" hidden="false" customHeight="false" outlineLevel="0" collapsed="false">
      <c r="A2" s="5" t="s">
        <v>188</v>
      </c>
      <c r="B2" s="5" t="n">
        <v>1</v>
      </c>
      <c r="C2" s="5" t="s">
        <v>461</v>
      </c>
      <c r="D2" s="5" t="s">
        <v>462</v>
      </c>
      <c r="E2" s="5" t="n">
        <v>3</v>
      </c>
      <c r="F2" s="5" t="n">
        <v>3</v>
      </c>
      <c r="G2" s="5" t="n">
        <v>3</v>
      </c>
      <c r="H2" s="5" t="s">
        <v>463</v>
      </c>
      <c r="I2" s="7" t="n">
        <v>35405</v>
      </c>
      <c r="J2" s="5" t="n">
        <f aca="false">E2-F2</f>
        <v>0</v>
      </c>
      <c r="K2" s="7" t="n">
        <f aca="false">F2*I2</f>
        <v>106215</v>
      </c>
      <c r="L2" s="7" t="n">
        <f aca="false">E2*I2</f>
        <v>106215</v>
      </c>
    </row>
    <row r="3" customFormat="false" ht="15" hidden="false" customHeight="false" outlineLevel="0" collapsed="false">
      <c r="A3" s="5" t="s">
        <v>188</v>
      </c>
      <c r="B3" s="5" t="n">
        <v>2</v>
      </c>
      <c r="C3" s="5" t="s">
        <v>464</v>
      </c>
      <c r="D3" s="5" t="s">
        <v>465</v>
      </c>
      <c r="E3" s="5" t="n">
        <v>494</v>
      </c>
      <c r="F3" s="5" t="n">
        <v>494</v>
      </c>
      <c r="G3" s="5" t="n">
        <v>494</v>
      </c>
      <c r="H3" s="5" t="s">
        <v>466</v>
      </c>
      <c r="I3" s="7" t="n">
        <v>56.26</v>
      </c>
      <c r="J3" s="5" t="n">
        <f aca="false">E3-F3</f>
        <v>0</v>
      </c>
      <c r="K3" s="7" t="n">
        <f aca="false">F3*I3</f>
        <v>27792.44</v>
      </c>
      <c r="L3" s="7" t="n">
        <f aca="false">E3*I3</f>
        <v>27792.44</v>
      </c>
    </row>
    <row r="4" customFormat="false" ht="15" hidden="false" customHeight="false" outlineLevel="0" collapsed="false">
      <c r="A4" s="5" t="s">
        <v>193</v>
      </c>
      <c r="B4" s="5" t="n">
        <v>1</v>
      </c>
      <c r="C4" s="5" t="s">
        <v>467</v>
      </c>
      <c r="D4" s="5" t="s">
        <v>468</v>
      </c>
      <c r="E4" s="5" t="n">
        <v>2</v>
      </c>
      <c r="F4" s="5" t="n">
        <v>2</v>
      </c>
      <c r="G4" s="5" t="n">
        <v>2</v>
      </c>
      <c r="H4" s="5" t="s">
        <v>469</v>
      </c>
      <c r="I4" s="7" t="n">
        <v>23520</v>
      </c>
      <c r="J4" s="5" t="n">
        <f aca="false">E4-F4</f>
        <v>0</v>
      </c>
      <c r="K4" s="7" t="n">
        <f aca="false">F4*I4</f>
        <v>47040</v>
      </c>
      <c r="L4" s="7" t="n">
        <f aca="false">E4*I4</f>
        <v>47040</v>
      </c>
    </row>
    <row r="5" customFormat="false" ht="15" hidden="false" customHeight="false" outlineLevel="0" collapsed="false">
      <c r="A5" s="5" t="s">
        <v>193</v>
      </c>
      <c r="B5" s="5" t="n">
        <v>2</v>
      </c>
      <c r="C5" s="5" t="s">
        <v>470</v>
      </c>
      <c r="D5" s="5" t="s">
        <v>471</v>
      </c>
      <c r="E5" s="5" t="n">
        <v>3</v>
      </c>
      <c r="F5" s="5" t="n">
        <v>3</v>
      </c>
      <c r="G5" s="5" t="n">
        <v>3</v>
      </c>
      <c r="H5" s="5" t="s">
        <v>469</v>
      </c>
      <c r="I5" s="7" t="n">
        <v>4998</v>
      </c>
      <c r="J5" s="5" t="n">
        <f aca="false">E5-F5</f>
        <v>0</v>
      </c>
      <c r="K5" s="7" t="n">
        <f aca="false">F5*I5</f>
        <v>14994</v>
      </c>
      <c r="L5" s="7" t="n">
        <f aca="false">E5*I5</f>
        <v>14994</v>
      </c>
    </row>
    <row r="6" customFormat="false" ht="15" hidden="false" customHeight="false" outlineLevel="0" collapsed="false">
      <c r="A6" s="5" t="s">
        <v>193</v>
      </c>
      <c r="B6" s="5" t="n">
        <v>3</v>
      </c>
      <c r="C6" s="5" t="s">
        <v>472</v>
      </c>
      <c r="D6" s="5" t="s">
        <v>473</v>
      </c>
      <c r="E6" s="5" t="n">
        <v>3</v>
      </c>
      <c r="F6" s="5" t="n">
        <v>3</v>
      </c>
      <c r="G6" s="5" t="n">
        <v>3</v>
      </c>
      <c r="H6" s="5" t="s">
        <v>469</v>
      </c>
      <c r="I6" s="7" t="n">
        <v>53410</v>
      </c>
      <c r="J6" s="5" t="n">
        <f aca="false">E6-F6</f>
        <v>0</v>
      </c>
      <c r="K6" s="7" t="n">
        <f aca="false">F6*I6</f>
        <v>160230</v>
      </c>
      <c r="L6" s="7" t="n">
        <f aca="false">E6*I6</f>
        <v>160230</v>
      </c>
    </row>
    <row r="7" customFormat="false" ht="15" hidden="false" customHeight="false" outlineLevel="0" collapsed="false">
      <c r="A7" s="5" t="s">
        <v>196</v>
      </c>
      <c r="B7" s="5" t="n">
        <v>1</v>
      </c>
      <c r="C7" s="5" t="s">
        <v>474</v>
      </c>
      <c r="D7" s="5" t="s">
        <v>475</v>
      </c>
      <c r="E7" s="5" t="n">
        <v>134</v>
      </c>
      <c r="F7" s="5" t="n">
        <v>134</v>
      </c>
      <c r="G7" s="5" t="n">
        <v>134</v>
      </c>
      <c r="H7" s="5" t="s">
        <v>466</v>
      </c>
      <c r="I7" s="7" t="n">
        <v>195</v>
      </c>
      <c r="J7" s="5" t="n">
        <f aca="false">E7-F7</f>
        <v>0</v>
      </c>
      <c r="K7" s="7" t="n">
        <f aca="false">F7*I7</f>
        <v>26130</v>
      </c>
      <c r="L7" s="7" t="n">
        <f aca="false">E7*I7</f>
        <v>26130</v>
      </c>
    </row>
    <row r="8" customFormat="false" ht="15" hidden="false" customHeight="false" outlineLevel="0" collapsed="false">
      <c r="A8" s="5" t="s">
        <v>196</v>
      </c>
      <c r="B8" s="5" t="n">
        <v>2</v>
      </c>
      <c r="C8" s="5" t="s">
        <v>476</v>
      </c>
      <c r="D8" s="5" t="s">
        <v>477</v>
      </c>
      <c r="E8" s="5" t="n">
        <v>2</v>
      </c>
      <c r="F8" s="5" t="n">
        <v>2</v>
      </c>
      <c r="G8" s="5" t="n">
        <v>2</v>
      </c>
      <c r="H8" s="5" t="s">
        <v>469</v>
      </c>
      <c r="I8" s="7" t="n">
        <v>47500</v>
      </c>
      <c r="J8" s="5" t="n">
        <f aca="false">E8-F8</f>
        <v>0</v>
      </c>
      <c r="K8" s="7" t="n">
        <f aca="false">F8*I8</f>
        <v>95000</v>
      </c>
      <c r="L8" s="7" t="n">
        <f aca="false">E8*I8</f>
        <v>95000</v>
      </c>
    </row>
    <row r="9" customFormat="false" ht="15" hidden="false" customHeight="false" outlineLevel="0" collapsed="false">
      <c r="A9" s="5" t="s">
        <v>199</v>
      </c>
      <c r="B9" s="5" t="n">
        <v>1</v>
      </c>
      <c r="C9" s="5" t="s">
        <v>478</v>
      </c>
      <c r="D9" s="5" t="s">
        <v>479</v>
      </c>
      <c r="E9" s="5" t="n">
        <v>1</v>
      </c>
      <c r="F9" s="5" t="n">
        <v>1</v>
      </c>
      <c r="G9" s="5" t="n">
        <v>1</v>
      </c>
      <c r="H9" s="5" t="s">
        <v>469</v>
      </c>
      <c r="I9" s="7" t="n">
        <v>4074</v>
      </c>
      <c r="J9" s="5" t="n">
        <f aca="false">E9-F9</f>
        <v>0</v>
      </c>
      <c r="K9" s="7" t="n">
        <f aca="false">F9*I9</f>
        <v>4074</v>
      </c>
      <c r="L9" s="7" t="n">
        <f aca="false">E9*I9</f>
        <v>4074</v>
      </c>
    </row>
    <row r="10" customFormat="false" ht="15" hidden="false" customHeight="false" outlineLevel="0" collapsed="false">
      <c r="A10" s="5" t="s">
        <v>199</v>
      </c>
      <c r="B10" s="5" t="n">
        <v>2</v>
      </c>
      <c r="C10" s="5" t="s">
        <v>464</v>
      </c>
      <c r="D10" s="5" t="s">
        <v>465</v>
      </c>
      <c r="E10" s="5" t="n">
        <v>240</v>
      </c>
      <c r="F10" s="5" t="n">
        <v>240</v>
      </c>
      <c r="G10" s="5" t="n">
        <v>240</v>
      </c>
      <c r="H10" s="5" t="s">
        <v>466</v>
      </c>
      <c r="I10" s="7" t="n">
        <v>56.26</v>
      </c>
      <c r="J10" s="5" t="n">
        <f aca="false">E10-F10</f>
        <v>0</v>
      </c>
      <c r="K10" s="7" t="n">
        <f aca="false">F10*I10</f>
        <v>13502.4</v>
      </c>
      <c r="L10" s="7" t="n">
        <f aca="false">E10*I10</f>
        <v>13502.4</v>
      </c>
    </row>
    <row r="11" customFormat="false" ht="15" hidden="false" customHeight="false" outlineLevel="0" collapsed="false">
      <c r="A11" s="5" t="s">
        <v>199</v>
      </c>
      <c r="B11" s="5" t="n">
        <v>3</v>
      </c>
      <c r="C11" s="5" t="s">
        <v>480</v>
      </c>
      <c r="D11" s="5" t="s">
        <v>481</v>
      </c>
      <c r="E11" s="5" t="n">
        <v>247</v>
      </c>
      <c r="F11" s="5" t="n">
        <v>247</v>
      </c>
      <c r="G11" s="5" t="n">
        <v>247</v>
      </c>
      <c r="H11" s="5" t="s">
        <v>466</v>
      </c>
      <c r="I11" s="7" t="n">
        <v>223.1</v>
      </c>
      <c r="J11" s="5" t="n">
        <f aca="false">E11-F11</f>
        <v>0</v>
      </c>
      <c r="K11" s="7" t="n">
        <f aca="false">F11*I11</f>
        <v>55105.7</v>
      </c>
      <c r="L11" s="7" t="n">
        <f aca="false">E11*I11</f>
        <v>55105.7</v>
      </c>
    </row>
    <row r="12" customFormat="false" ht="15" hidden="false" customHeight="false" outlineLevel="0" collapsed="false">
      <c r="A12" s="5" t="s">
        <v>202</v>
      </c>
      <c r="B12" s="5" t="n">
        <v>1</v>
      </c>
      <c r="C12" s="5" t="s">
        <v>482</v>
      </c>
      <c r="D12" s="5" t="s">
        <v>483</v>
      </c>
      <c r="E12" s="5" t="n">
        <v>2</v>
      </c>
      <c r="F12" s="5" t="n">
        <v>2</v>
      </c>
      <c r="G12" s="5" t="n">
        <v>2</v>
      </c>
      <c r="H12" s="5" t="s">
        <v>469</v>
      </c>
      <c r="I12" s="7" t="n">
        <v>1750</v>
      </c>
      <c r="J12" s="5" t="n">
        <f aca="false">E12-F12</f>
        <v>0</v>
      </c>
      <c r="K12" s="7" t="n">
        <f aca="false">F12*I12</f>
        <v>3500</v>
      </c>
      <c r="L12" s="7" t="n">
        <f aca="false">E12*I12</f>
        <v>3500</v>
      </c>
    </row>
    <row r="13" customFormat="false" ht="15" hidden="false" customHeight="false" outlineLevel="0" collapsed="false">
      <c r="A13" s="5" t="s">
        <v>205</v>
      </c>
      <c r="B13" s="5" t="n">
        <v>1</v>
      </c>
      <c r="C13" s="5" t="s">
        <v>480</v>
      </c>
      <c r="D13" s="5" t="s">
        <v>481</v>
      </c>
      <c r="E13" s="5" t="n">
        <v>12</v>
      </c>
      <c r="F13" s="5" t="n">
        <v>12</v>
      </c>
      <c r="G13" s="5" t="n">
        <v>12</v>
      </c>
      <c r="H13" s="5" t="s">
        <v>466</v>
      </c>
      <c r="I13" s="7" t="n">
        <v>230</v>
      </c>
      <c r="J13" s="5" t="n">
        <f aca="false">E13-F13</f>
        <v>0</v>
      </c>
      <c r="K13" s="7" t="n">
        <f aca="false">F13*I13</f>
        <v>2760</v>
      </c>
      <c r="L13" s="7" t="n">
        <f aca="false">E13*I13</f>
        <v>2760</v>
      </c>
    </row>
    <row r="14" customFormat="false" ht="15" hidden="false" customHeight="false" outlineLevel="0" collapsed="false">
      <c r="A14" s="5" t="s">
        <v>208</v>
      </c>
      <c r="B14" s="5" t="n">
        <v>1</v>
      </c>
      <c r="C14" s="5" t="s">
        <v>484</v>
      </c>
      <c r="D14" s="5" t="s">
        <v>485</v>
      </c>
      <c r="E14" s="5" t="n">
        <v>98</v>
      </c>
      <c r="F14" s="5" t="n">
        <v>98</v>
      </c>
      <c r="G14" s="5" t="n">
        <v>98</v>
      </c>
      <c r="H14" s="5" t="s">
        <v>486</v>
      </c>
      <c r="I14" s="7" t="n">
        <v>161.5</v>
      </c>
      <c r="J14" s="5" t="n">
        <f aca="false">E14-F14</f>
        <v>0</v>
      </c>
      <c r="K14" s="7" t="n">
        <f aca="false">F14*I14</f>
        <v>15827</v>
      </c>
      <c r="L14" s="7" t="n">
        <f aca="false">E14*I14</f>
        <v>15827</v>
      </c>
    </row>
    <row r="15" customFormat="false" ht="15" hidden="false" customHeight="false" outlineLevel="0" collapsed="false">
      <c r="A15" s="5" t="s">
        <v>208</v>
      </c>
      <c r="B15" s="5" t="n">
        <v>2</v>
      </c>
      <c r="C15" s="5" t="s">
        <v>482</v>
      </c>
      <c r="D15" s="5" t="s">
        <v>483</v>
      </c>
      <c r="E15" s="5" t="n">
        <v>7</v>
      </c>
      <c r="F15" s="5" t="n">
        <v>7</v>
      </c>
      <c r="G15" s="5" t="n">
        <v>7</v>
      </c>
      <c r="H15" s="5" t="s">
        <v>469</v>
      </c>
      <c r="I15" s="7" t="n">
        <v>1662.5</v>
      </c>
      <c r="J15" s="5" t="n">
        <f aca="false">E15-F15</f>
        <v>0</v>
      </c>
      <c r="K15" s="7" t="n">
        <f aca="false">F15*I15</f>
        <v>11637.5</v>
      </c>
      <c r="L15" s="7" t="n">
        <f aca="false">E15*I15</f>
        <v>11637.5</v>
      </c>
    </row>
    <row r="16" customFormat="false" ht="15" hidden="false" customHeight="false" outlineLevel="0" collapsed="false">
      <c r="A16" s="5" t="s">
        <v>208</v>
      </c>
      <c r="B16" s="5" t="n">
        <v>3</v>
      </c>
      <c r="C16" s="5" t="s">
        <v>467</v>
      </c>
      <c r="D16" s="5" t="s">
        <v>468</v>
      </c>
      <c r="E16" s="5" t="n">
        <v>2</v>
      </c>
      <c r="F16" s="5" t="n">
        <v>2</v>
      </c>
      <c r="G16" s="5" t="n">
        <v>2</v>
      </c>
      <c r="H16" s="5" t="s">
        <v>469</v>
      </c>
      <c r="I16" s="7" t="n">
        <v>22800</v>
      </c>
      <c r="J16" s="5" t="n">
        <f aca="false">E16-F16</f>
        <v>0</v>
      </c>
      <c r="K16" s="7" t="n">
        <f aca="false">F16*I16</f>
        <v>45600</v>
      </c>
      <c r="L16" s="7" t="n">
        <f aca="false">E16*I16</f>
        <v>45600</v>
      </c>
    </row>
    <row r="17" customFormat="false" ht="15" hidden="false" customHeight="false" outlineLevel="0" collapsed="false">
      <c r="A17" s="5" t="s">
        <v>208</v>
      </c>
      <c r="B17" s="5" t="n">
        <v>4</v>
      </c>
      <c r="C17" s="5" t="s">
        <v>487</v>
      </c>
      <c r="D17" s="5" t="s">
        <v>488</v>
      </c>
      <c r="E17" s="5" t="n">
        <v>10</v>
      </c>
      <c r="F17" s="5" t="n">
        <v>10</v>
      </c>
      <c r="G17" s="5" t="n">
        <v>10</v>
      </c>
      <c r="H17" s="5" t="s">
        <v>489</v>
      </c>
      <c r="I17" s="7" t="n">
        <v>1757.5</v>
      </c>
      <c r="J17" s="5" t="n">
        <f aca="false">E17-F17</f>
        <v>0</v>
      </c>
      <c r="K17" s="7" t="n">
        <f aca="false">F17*I17</f>
        <v>17575</v>
      </c>
      <c r="L17" s="7" t="n">
        <f aca="false">E17*I17</f>
        <v>17575</v>
      </c>
    </row>
    <row r="18" customFormat="false" ht="15" hidden="false" customHeight="false" outlineLevel="0" collapsed="false">
      <c r="A18" s="5" t="s">
        <v>211</v>
      </c>
      <c r="B18" s="5" t="n">
        <v>1</v>
      </c>
      <c r="C18" s="5" t="s">
        <v>484</v>
      </c>
      <c r="D18" s="5" t="s">
        <v>485</v>
      </c>
      <c r="E18" s="5" t="n">
        <v>62</v>
      </c>
      <c r="F18" s="5" t="n">
        <v>62</v>
      </c>
      <c r="G18" s="5" t="n">
        <v>62</v>
      </c>
      <c r="H18" s="5" t="s">
        <v>486</v>
      </c>
      <c r="I18" s="7" t="n">
        <v>164.9</v>
      </c>
      <c r="J18" s="5" t="n">
        <f aca="false">E18-F18</f>
        <v>0</v>
      </c>
      <c r="K18" s="7" t="n">
        <f aca="false">F18*I18</f>
        <v>10223.8</v>
      </c>
      <c r="L18" s="7" t="n">
        <f aca="false">E18*I18</f>
        <v>10223.8</v>
      </c>
    </row>
    <row r="19" customFormat="false" ht="15" hidden="false" customHeight="false" outlineLevel="0" collapsed="false">
      <c r="A19" s="5" t="s">
        <v>211</v>
      </c>
      <c r="B19" s="5" t="n">
        <v>2</v>
      </c>
      <c r="C19" s="5" t="s">
        <v>490</v>
      </c>
      <c r="D19" s="5" t="s">
        <v>491</v>
      </c>
      <c r="E19" s="5" t="n">
        <v>180</v>
      </c>
      <c r="F19" s="5" t="n">
        <v>180</v>
      </c>
      <c r="G19" s="5" t="n">
        <v>180</v>
      </c>
      <c r="H19" s="5" t="s">
        <v>466</v>
      </c>
      <c r="I19" s="7" t="n">
        <v>281.3</v>
      </c>
      <c r="J19" s="5" t="n">
        <f aca="false">E19-F19</f>
        <v>0</v>
      </c>
      <c r="K19" s="7" t="n">
        <f aca="false">F19*I19</f>
        <v>50634</v>
      </c>
      <c r="L19" s="7" t="n">
        <f aca="false">E19*I19</f>
        <v>50634</v>
      </c>
    </row>
    <row r="20" customFormat="false" ht="15" hidden="false" customHeight="false" outlineLevel="0" collapsed="false">
      <c r="A20" s="5" t="s">
        <v>211</v>
      </c>
      <c r="B20" s="5" t="n">
        <v>3</v>
      </c>
      <c r="C20" s="5" t="s">
        <v>478</v>
      </c>
      <c r="D20" s="5" t="s">
        <v>479</v>
      </c>
      <c r="E20" s="5" t="n">
        <v>2</v>
      </c>
      <c r="F20" s="5" t="n">
        <v>2</v>
      </c>
      <c r="G20" s="5" t="n">
        <v>2</v>
      </c>
      <c r="H20" s="5" t="s">
        <v>469</v>
      </c>
      <c r="I20" s="7" t="n">
        <v>4074</v>
      </c>
      <c r="J20" s="5" t="n">
        <f aca="false">E20-F20</f>
        <v>0</v>
      </c>
      <c r="K20" s="7" t="n">
        <f aca="false">F20*I20</f>
        <v>8148</v>
      </c>
      <c r="L20" s="7" t="n">
        <f aca="false">E20*I20</f>
        <v>8148</v>
      </c>
    </row>
    <row r="21" customFormat="false" ht="15" hidden="false" customHeight="false" outlineLevel="0" collapsed="false">
      <c r="A21" s="5" t="s">
        <v>214</v>
      </c>
      <c r="B21" s="5" t="n">
        <v>1</v>
      </c>
      <c r="C21" s="5" t="s">
        <v>480</v>
      </c>
      <c r="D21" s="5" t="s">
        <v>481</v>
      </c>
      <c r="E21" s="5" t="n">
        <v>4</v>
      </c>
      <c r="F21" s="5" t="n">
        <v>4</v>
      </c>
      <c r="G21" s="5" t="n">
        <v>4</v>
      </c>
      <c r="H21" s="5" t="s">
        <v>466</v>
      </c>
      <c r="I21" s="7" t="n">
        <v>230</v>
      </c>
      <c r="J21" s="5" t="n">
        <f aca="false">E21-F21</f>
        <v>0</v>
      </c>
      <c r="K21" s="7" t="n">
        <f aca="false">F21*I21</f>
        <v>920</v>
      </c>
      <c r="L21" s="7" t="n">
        <f aca="false">E21*I21</f>
        <v>920</v>
      </c>
    </row>
    <row r="22" customFormat="false" ht="15" hidden="false" customHeight="false" outlineLevel="0" collapsed="false">
      <c r="A22" s="5" t="s">
        <v>214</v>
      </c>
      <c r="B22" s="5" t="n">
        <v>2</v>
      </c>
      <c r="C22" s="5" t="s">
        <v>474</v>
      </c>
      <c r="D22" s="5" t="s">
        <v>475</v>
      </c>
      <c r="E22" s="5" t="n">
        <v>11</v>
      </c>
      <c r="F22" s="5" t="n">
        <v>11</v>
      </c>
      <c r="G22" s="5" t="n">
        <v>11</v>
      </c>
      <c r="H22" s="5" t="s">
        <v>466</v>
      </c>
      <c r="I22" s="7" t="n">
        <v>195</v>
      </c>
      <c r="J22" s="5" t="n">
        <f aca="false">E22-F22</f>
        <v>0</v>
      </c>
      <c r="K22" s="7" t="n">
        <f aca="false">F22*I22</f>
        <v>2145</v>
      </c>
      <c r="L22" s="7" t="n">
        <f aca="false">E22*I22</f>
        <v>2145</v>
      </c>
    </row>
    <row r="23" customFormat="false" ht="15" hidden="false" customHeight="false" outlineLevel="0" collapsed="false">
      <c r="A23" s="5" t="s">
        <v>217</v>
      </c>
      <c r="B23" s="5" t="n">
        <v>1</v>
      </c>
      <c r="C23" s="5" t="s">
        <v>480</v>
      </c>
      <c r="D23" s="5" t="s">
        <v>481</v>
      </c>
      <c r="E23" s="5" t="n">
        <v>4</v>
      </c>
      <c r="F23" s="5" t="n">
        <v>4</v>
      </c>
      <c r="G23" s="5" t="n">
        <v>4</v>
      </c>
      <c r="H23" s="5" t="s">
        <v>466</v>
      </c>
      <c r="I23" s="7" t="n">
        <v>230</v>
      </c>
      <c r="J23" s="5" t="n">
        <f aca="false">E23-F23</f>
        <v>0</v>
      </c>
      <c r="K23" s="7" t="n">
        <f aca="false">F23*I23</f>
        <v>920</v>
      </c>
      <c r="L23" s="7" t="n">
        <f aca="false">E23*I23</f>
        <v>920</v>
      </c>
    </row>
    <row r="24" customFormat="false" ht="15" hidden="false" customHeight="false" outlineLevel="0" collapsed="false">
      <c r="A24" s="5" t="s">
        <v>220</v>
      </c>
      <c r="B24" s="5" t="n">
        <v>1</v>
      </c>
      <c r="C24" s="5" t="s">
        <v>480</v>
      </c>
      <c r="D24" s="5" t="s">
        <v>481</v>
      </c>
      <c r="E24" s="5" t="n">
        <v>189</v>
      </c>
      <c r="F24" s="5" t="n">
        <v>189</v>
      </c>
      <c r="G24" s="5" t="n">
        <v>189</v>
      </c>
      <c r="H24" s="5" t="s">
        <v>466</v>
      </c>
      <c r="I24" s="7" t="n">
        <v>225.4</v>
      </c>
      <c r="J24" s="5" t="n">
        <f aca="false">E24-F24</f>
        <v>0</v>
      </c>
      <c r="K24" s="7" t="n">
        <f aca="false">F24*I24</f>
        <v>42600.6</v>
      </c>
      <c r="L24" s="7" t="n">
        <f aca="false">E24*I24</f>
        <v>42600.6</v>
      </c>
    </row>
    <row r="25" customFormat="false" ht="15" hidden="false" customHeight="false" outlineLevel="0" collapsed="false">
      <c r="A25" s="5" t="s">
        <v>220</v>
      </c>
      <c r="B25" s="5" t="n">
        <v>2</v>
      </c>
      <c r="C25" s="5" t="s">
        <v>464</v>
      </c>
      <c r="D25" s="5" t="s">
        <v>465</v>
      </c>
      <c r="E25" s="5" t="n">
        <v>295</v>
      </c>
      <c r="F25" s="5" t="n">
        <v>295</v>
      </c>
      <c r="G25" s="5" t="n">
        <v>295</v>
      </c>
      <c r="H25" s="5" t="s">
        <v>466</v>
      </c>
      <c r="I25" s="7" t="n">
        <v>56.84</v>
      </c>
      <c r="J25" s="5" t="n">
        <f aca="false">E25-F25</f>
        <v>0</v>
      </c>
      <c r="K25" s="7" t="n">
        <f aca="false">F25*I25</f>
        <v>16767.8</v>
      </c>
      <c r="L25" s="7" t="n">
        <f aca="false">E25*I25</f>
        <v>16767.8</v>
      </c>
    </row>
    <row r="26" customFormat="false" ht="15" hidden="false" customHeight="false" outlineLevel="0" collapsed="false">
      <c r="A26" s="5" t="s">
        <v>220</v>
      </c>
      <c r="B26" s="5" t="n">
        <v>3</v>
      </c>
      <c r="C26" s="5" t="s">
        <v>492</v>
      </c>
      <c r="D26" s="5" t="s">
        <v>493</v>
      </c>
      <c r="E26" s="5" t="n">
        <v>197</v>
      </c>
      <c r="F26" s="5" t="n">
        <v>197</v>
      </c>
      <c r="G26" s="5" t="n">
        <v>197</v>
      </c>
      <c r="H26" s="5" t="s">
        <v>486</v>
      </c>
      <c r="I26" s="7" t="n">
        <v>132.3</v>
      </c>
      <c r="J26" s="5" t="n">
        <f aca="false">E26-F26</f>
        <v>0</v>
      </c>
      <c r="K26" s="7" t="n">
        <f aca="false">F26*I26</f>
        <v>26063.1</v>
      </c>
      <c r="L26" s="7" t="n">
        <f aca="false">E26*I26</f>
        <v>26063.1</v>
      </c>
    </row>
    <row r="27" customFormat="false" ht="15" hidden="false" customHeight="false" outlineLevel="0" collapsed="false">
      <c r="A27" s="5" t="s">
        <v>223</v>
      </c>
      <c r="B27" s="5" t="n">
        <v>1</v>
      </c>
      <c r="C27" s="5" t="s">
        <v>464</v>
      </c>
      <c r="D27" s="5" t="s">
        <v>465</v>
      </c>
      <c r="E27" s="5" t="n">
        <v>497</v>
      </c>
      <c r="F27" s="5" t="n">
        <v>497</v>
      </c>
      <c r="G27" s="5" t="n">
        <v>497</v>
      </c>
      <c r="H27" s="5" t="s">
        <v>466</v>
      </c>
      <c r="I27" s="7" t="n">
        <v>58</v>
      </c>
      <c r="J27" s="5" t="n">
        <f aca="false">E27-F27</f>
        <v>0</v>
      </c>
      <c r="K27" s="7" t="n">
        <f aca="false">F27*I27</f>
        <v>28826</v>
      </c>
      <c r="L27" s="7" t="n">
        <f aca="false">E27*I27</f>
        <v>28826</v>
      </c>
    </row>
    <row r="28" customFormat="false" ht="15" hidden="false" customHeight="false" outlineLevel="0" collapsed="false">
      <c r="A28" s="5" t="s">
        <v>223</v>
      </c>
      <c r="B28" s="5" t="n">
        <v>2</v>
      </c>
      <c r="C28" s="5" t="s">
        <v>494</v>
      </c>
      <c r="D28" s="5" t="s">
        <v>495</v>
      </c>
      <c r="E28" s="5" t="n">
        <v>7</v>
      </c>
      <c r="F28" s="5" t="n">
        <v>7</v>
      </c>
      <c r="G28" s="5" t="n">
        <v>7</v>
      </c>
      <c r="H28" s="5" t="s">
        <v>466</v>
      </c>
      <c r="I28" s="7" t="n">
        <v>640</v>
      </c>
      <c r="J28" s="5" t="n">
        <f aca="false">E28-F28</f>
        <v>0</v>
      </c>
      <c r="K28" s="7" t="n">
        <f aca="false">F28*I28</f>
        <v>4480</v>
      </c>
      <c r="L28" s="7" t="n">
        <f aca="false">E28*I28</f>
        <v>4480</v>
      </c>
    </row>
    <row r="29" customFormat="false" ht="15" hidden="false" customHeight="false" outlineLevel="0" collapsed="false">
      <c r="A29" s="5" t="s">
        <v>223</v>
      </c>
      <c r="B29" s="5" t="n">
        <v>3</v>
      </c>
      <c r="C29" s="5" t="s">
        <v>467</v>
      </c>
      <c r="D29" s="5" t="s">
        <v>468</v>
      </c>
      <c r="E29" s="5" t="n">
        <v>4</v>
      </c>
      <c r="F29" s="5" t="n">
        <v>4</v>
      </c>
      <c r="G29" s="5" t="n">
        <v>4</v>
      </c>
      <c r="H29" s="5" t="s">
        <v>469</v>
      </c>
      <c r="I29" s="7" t="n">
        <v>24000</v>
      </c>
      <c r="J29" s="5" t="n">
        <f aca="false">E29-F29</f>
        <v>0</v>
      </c>
      <c r="K29" s="7" t="n">
        <f aca="false">F29*I29</f>
        <v>96000</v>
      </c>
      <c r="L29" s="7" t="n">
        <f aca="false">E29*I29</f>
        <v>96000</v>
      </c>
    </row>
    <row r="30" customFormat="false" ht="15" hidden="false" customHeight="false" outlineLevel="0" collapsed="false">
      <c r="A30" s="5" t="s">
        <v>226</v>
      </c>
      <c r="B30" s="5" t="n">
        <v>1</v>
      </c>
      <c r="C30" s="5" t="s">
        <v>484</v>
      </c>
      <c r="D30" s="5" t="s">
        <v>485</v>
      </c>
      <c r="E30" s="5" t="n">
        <v>67</v>
      </c>
      <c r="F30" s="5" t="n">
        <v>67</v>
      </c>
      <c r="G30" s="5" t="n">
        <v>67</v>
      </c>
      <c r="H30" s="5" t="s">
        <v>486</v>
      </c>
      <c r="I30" s="7" t="n">
        <v>170</v>
      </c>
      <c r="J30" s="5" t="n">
        <f aca="false">E30-F30</f>
        <v>0</v>
      </c>
      <c r="K30" s="7" t="n">
        <f aca="false">F30*I30</f>
        <v>11390</v>
      </c>
      <c r="L30" s="7" t="n">
        <f aca="false">E30*I30</f>
        <v>11390</v>
      </c>
    </row>
    <row r="31" customFormat="false" ht="15" hidden="false" customHeight="false" outlineLevel="0" collapsed="false">
      <c r="A31" s="5" t="s">
        <v>226</v>
      </c>
      <c r="B31" s="5" t="n">
        <v>2</v>
      </c>
      <c r="C31" s="5" t="s">
        <v>464</v>
      </c>
      <c r="D31" s="5" t="s">
        <v>465</v>
      </c>
      <c r="E31" s="5" t="n">
        <v>380</v>
      </c>
      <c r="F31" s="5" t="n">
        <v>380</v>
      </c>
      <c r="G31" s="5" t="n">
        <v>380</v>
      </c>
      <c r="H31" s="5" t="s">
        <v>466</v>
      </c>
      <c r="I31" s="7" t="n">
        <v>58</v>
      </c>
      <c r="J31" s="5" t="n">
        <f aca="false">E31-F31</f>
        <v>0</v>
      </c>
      <c r="K31" s="7" t="n">
        <f aca="false">F31*I31</f>
        <v>22040</v>
      </c>
      <c r="L31" s="7" t="n">
        <f aca="false">E31*I31</f>
        <v>22040</v>
      </c>
    </row>
    <row r="32" customFormat="false" ht="15" hidden="false" customHeight="false" outlineLevel="0" collapsed="false">
      <c r="A32" s="5" t="s">
        <v>229</v>
      </c>
      <c r="B32" s="5" t="n">
        <v>1</v>
      </c>
      <c r="C32" s="5" t="s">
        <v>492</v>
      </c>
      <c r="D32" s="5" t="s">
        <v>493</v>
      </c>
      <c r="E32" s="5" t="n">
        <v>242</v>
      </c>
      <c r="F32" s="5" t="n">
        <v>242</v>
      </c>
      <c r="G32" s="5" t="n">
        <v>242</v>
      </c>
      <c r="H32" s="5" t="s">
        <v>486</v>
      </c>
      <c r="I32" s="7" t="n">
        <v>135</v>
      </c>
      <c r="J32" s="5" t="n">
        <f aca="false">E32-F32</f>
        <v>0</v>
      </c>
      <c r="K32" s="7" t="n">
        <f aca="false">F32*I32</f>
        <v>32670</v>
      </c>
      <c r="L32" s="7" t="n">
        <f aca="false">E32*I32</f>
        <v>32670</v>
      </c>
    </row>
    <row r="33" customFormat="false" ht="15" hidden="false" customHeight="false" outlineLevel="0" collapsed="false">
      <c r="A33" s="5" t="s">
        <v>229</v>
      </c>
      <c r="B33" s="5" t="n">
        <v>2</v>
      </c>
      <c r="C33" s="5" t="s">
        <v>472</v>
      </c>
      <c r="D33" s="5" t="s">
        <v>473</v>
      </c>
      <c r="E33" s="5" t="n">
        <v>1</v>
      </c>
      <c r="F33" s="5" t="n">
        <v>1</v>
      </c>
      <c r="G33" s="5" t="n">
        <v>1</v>
      </c>
      <c r="H33" s="5" t="s">
        <v>469</v>
      </c>
      <c r="I33" s="7" t="n">
        <v>54500</v>
      </c>
      <c r="J33" s="5" t="n">
        <f aca="false">E33-F33</f>
        <v>0</v>
      </c>
      <c r="K33" s="7" t="n">
        <f aca="false">F33*I33</f>
        <v>54500</v>
      </c>
      <c r="L33" s="7" t="n">
        <f aca="false">E33*I33</f>
        <v>54500</v>
      </c>
    </row>
    <row r="34" customFormat="false" ht="15" hidden="false" customHeight="false" outlineLevel="0" collapsed="false">
      <c r="A34" s="5" t="s">
        <v>232</v>
      </c>
      <c r="B34" s="5" t="n">
        <v>1</v>
      </c>
      <c r="C34" s="5" t="s">
        <v>480</v>
      </c>
      <c r="D34" s="5" t="s">
        <v>481</v>
      </c>
      <c r="E34" s="5" t="n">
        <v>220</v>
      </c>
      <c r="F34" s="5" t="n">
        <v>220</v>
      </c>
      <c r="G34" s="5" t="n">
        <v>220</v>
      </c>
      <c r="H34" s="5" t="s">
        <v>466</v>
      </c>
      <c r="I34" s="7" t="n">
        <v>225.4</v>
      </c>
      <c r="J34" s="5" t="n">
        <f aca="false">E34-F34</f>
        <v>0</v>
      </c>
      <c r="K34" s="7" t="n">
        <f aca="false">F34*I34</f>
        <v>49588</v>
      </c>
      <c r="L34" s="7" t="n">
        <f aca="false">E34*I34</f>
        <v>49588</v>
      </c>
    </row>
    <row r="35" customFormat="false" ht="15" hidden="false" customHeight="false" outlineLevel="0" collapsed="false">
      <c r="A35" s="5" t="s">
        <v>232</v>
      </c>
      <c r="B35" s="5" t="n">
        <v>2</v>
      </c>
      <c r="C35" s="5" t="s">
        <v>482</v>
      </c>
      <c r="D35" s="5" t="s">
        <v>483</v>
      </c>
      <c r="E35" s="5" t="n">
        <v>4</v>
      </c>
      <c r="F35" s="5" t="n">
        <v>4</v>
      </c>
      <c r="G35" s="5" t="n">
        <v>4</v>
      </c>
      <c r="H35" s="5" t="s">
        <v>469</v>
      </c>
      <c r="I35" s="7" t="n">
        <v>1715</v>
      </c>
      <c r="J35" s="5" t="n">
        <f aca="false">E35-F35</f>
        <v>0</v>
      </c>
      <c r="K35" s="7" t="n">
        <f aca="false">F35*I35</f>
        <v>6860</v>
      </c>
      <c r="L35" s="7" t="n">
        <f aca="false">E35*I35</f>
        <v>6860</v>
      </c>
    </row>
    <row r="36" customFormat="false" ht="15" hidden="false" customHeight="false" outlineLevel="0" collapsed="false">
      <c r="A36" s="5" t="s">
        <v>235</v>
      </c>
      <c r="B36" s="5" t="n">
        <v>1</v>
      </c>
      <c r="C36" s="5" t="s">
        <v>467</v>
      </c>
      <c r="D36" s="5" t="s">
        <v>468</v>
      </c>
      <c r="E36" s="5" t="n">
        <v>2</v>
      </c>
      <c r="F36" s="5" t="n">
        <v>2</v>
      </c>
      <c r="G36" s="5" t="n">
        <v>2</v>
      </c>
      <c r="H36" s="5" t="s">
        <v>469</v>
      </c>
      <c r="I36" s="7" t="n">
        <v>23280</v>
      </c>
      <c r="J36" s="5" t="n">
        <f aca="false">E36-F36</f>
        <v>0</v>
      </c>
      <c r="K36" s="7" t="n">
        <f aca="false">F36*I36</f>
        <v>46560</v>
      </c>
      <c r="L36" s="7" t="n">
        <f aca="false">E36*I36</f>
        <v>46560</v>
      </c>
    </row>
    <row r="37" customFormat="false" ht="15" hidden="false" customHeight="false" outlineLevel="0" collapsed="false">
      <c r="A37" s="5" t="s">
        <v>235</v>
      </c>
      <c r="B37" s="5" t="n">
        <v>2</v>
      </c>
      <c r="C37" s="5" t="s">
        <v>484</v>
      </c>
      <c r="D37" s="5" t="s">
        <v>485</v>
      </c>
      <c r="E37" s="5" t="n">
        <v>73</v>
      </c>
      <c r="F37" s="5" t="n">
        <v>73</v>
      </c>
      <c r="G37" s="5" t="n">
        <v>73</v>
      </c>
      <c r="H37" s="5" t="s">
        <v>486</v>
      </c>
      <c r="I37" s="7" t="n">
        <v>164.9</v>
      </c>
      <c r="J37" s="5" t="n">
        <f aca="false">E37-F37</f>
        <v>0</v>
      </c>
      <c r="K37" s="7" t="n">
        <f aca="false">F37*I37</f>
        <v>12037.7</v>
      </c>
      <c r="L37" s="7" t="n">
        <f aca="false">E37*I37</f>
        <v>12037.7</v>
      </c>
    </row>
    <row r="38" customFormat="false" ht="15" hidden="false" customHeight="false" outlineLevel="0" collapsed="false">
      <c r="A38" s="5" t="s">
        <v>235</v>
      </c>
      <c r="B38" s="5" t="n">
        <v>3</v>
      </c>
      <c r="C38" s="5" t="s">
        <v>464</v>
      </c>
      <c r="D38" s="5" t="s">
        <v>465</v>
      </c>
      <c r="E38" s="5" t="n">
        <v>94</v>
      </c>
      <c r="F38" s="5" t="n">
        <v>94</v>
      </c>
      <c r="G38" s="5" t="n">
        <v>94</v>
      </c>
      <c r="H38" s="5" t="s">
        <v>466</v>
      </c>
      <c r="I38" s="7" t="n">
        <v>56.26</v>
      </c>
      <c r="J38" s="5" t="n">
        <f aca="false">E38-F38</f>
        <v>0</v>
      </c>
      <c r="K38" s="7" t="n">
        <f aca="false">F38*I38</f>
        <v>5288.44</v>
      </c>
      <c r="L38" s="7" t="n">
        <f aca="false">E38*I38</f>
        <v>5288.44</v>
      </c>
    </row>
    <row r="39" customFormat="false" ht="15" hidden="false" customHeight="false" outlineLevel="0" collapsed="false">
      <c r="A39" s="5" t="s">
        <v>235</v>
      </c>
      <c r="B39" s="5" t="n">
        <v>4</v>
      </c>
      <c r="C39" s="5" t="s">
        <v>487</v>
      </c>
      <c r="D39" s="5" t="s">
        <v>488</v>
      </c>
      <c r="E39" s="5" t="n">
        <v>15</v>
      </c>
      <c r="F39" s="5" t="n">
        <v>15</v>
      </c>
      <c r="G39" s="5" t="n">
        <v>15</v>
      </c>
      <c r="H39" s="5" t="s">
        <v>489</v>
      </c>
      <c r="I39" s="7" t="n">
        <v>1794.5</v>
      </c>
      <c r="J39" s="5" t="n">
        <f aca="false">E39-F39</f>
        <v>0</v>
      </c>
      <c r="K39" s="7" t="n">
        <f aca="false">F39*I39</f>
        <v>26917.5</v>
      </c>
      <c r="L39" s="7" t="n">
        <f aca="false">E39*I39</f>
        <v>26917.5</v>
      </c>
    </row>
    <row r="40" customFormat="false" ht="15" hidden="false" customHeight="false" outlineLevel="0" collapsed="false">
      <c r="A40" s="5" t="s">
        <v>238</v>
      </c>
      <c r="B40" s="5" t="n">
        <v>1</v>
      </c>
      <c r="C40" s="5" t="s">
        <v>461</v>
      </c>
      <c r="D40" s="5" t="s">
        <v>462</v>
      </c>
      <c r="E40" s="5" t="n">
        <v>2</v>
      </c>
      <c r="F40" s="5" t="n">
        <v>2</v>
      </c>
      <c r="G40" s="5" t="n">
        <v>2</v>
      </c>
      <c r="H40" s="5" t="s">
        <v>463</v>
      </c>
      <c r="I40" s="7" t="n">
        <v>35770</v>
      </c>
      <c r="J40" s="5" t="n">
        <f aca="false">E40-F40</f>
        <v>0</v>
      </c>
      <c r="K40" s="7" t="n">
        <f aca="false">F40*I40</f>
        <v>71540</v>
      </c>
      <c r="L40" s="7" t="n">
        <f aca="false">E40*I40</f>
        <v>71540</v>
      </c>
    </row>
    <row r="41" customFormat="false" ht="15" hidden="false" customHeight="false" outlineLevel="0" collapsed="false">
      <c r="A41" s="5" t="s">
        <v>238</v>
      </c>
      <c r="B41" s="5" t="n">
        <v>2</v>
      </c>
      <c r="C41" s="5" t="s">
        <v>476</v>
      </c>
      <c r="D41" s="5" t="s">
        <v>477</v>
      </c>
      <c r="E41" s="5" t="n">
        <v>2</v>
      </c>
      <c r="F41" s="5" t="n">
        <v>2</v>
      </c>
      <c r="G41" s="5" t="n">
        <v>2</v>
      </c>
      <c r="H41" s="5" t="s">
        <v>469</v>
      </c>
      <c r="I41" s="7" t="n">
        <v>46550</v>
      </c>
      <c r="J41" s="5" t="n">
        <f aca="false">E41-F41</f>
        <v>0</v>
      </c>
      <c r="K41" s="7" t="n">
        <f aca="false">F41*I41</f>
        <v>93100</v>
      </c>
      <c r="L41" s="7" t="n">
        <f aca="false">E41*I41</f>
        <v>93100</v>
      </c>
    </row>
    <row r="42" customFormat="false" ht="15" hidden="false" customHeight="false" outlineLevel="0" collapsed="false">
      <c r="A42" s="5" t="s">
        <v>238</v>
      </c>
      <c r="B42" s="5" t="n">
        <v>3</v>
      </c>
      <c r="C42" s="5" t="s">
        <v>496</v>
      </c>
      <c r="D42" s="5" t="s">
        <v>497</v>
      </c>
      <c r="E42" s="5" t="n">
        <v>3</v>
      </c>
      <c r="F42" s="5" t="n">
        <v>3</v>
      </c>
      <c r="G42" s="5" t="n">
        <v>3</v>
      </c>
      <c r="H42" s="5" t="s">
        <v>469</v>
      </c>
      <c r="I42" s="7" t="n">
        <v>18620</v>
      </c>
      <c r="J42" s="5" t="n">
        <f aca="false">E42-F42</f>
        <v>0</v>
      </c>
      <c r="K42" s="7" t="n">
        <f aca="false">F42*I42</f>
        <v>55860</v>
      </c>
      <c r="L42" s="7" t="n">
        <f aca="false">E42*I42</f>
        <v>55860</v>
      </c>
    </row>
    <row r="43" customFormat="false" ht="15" hidden="false" customHeight="false" outlineLevel="0" collapsed="false">
      <c r="A43" s="5" t="s">
        <v>242</v>
      </c>
      <c r="B43" s="5" t="n">
        <v>1</v>
      </c>
      <c r="C43" s="5" t="s">
        <v>464</v>
      </c>
      <c r="D43" s="5" t="s">
        <v>465</v>
      </c>
      <c r="E43" s="5" t="n">
        <v>24</v>
      </c>
      <c r="F43" s="5" t="n">
        <v>24</v>
      </c>
      <c r="G43" s="5" t="n">
        <v>24</v>
      </c>
      <c r="H43" s="5" t="s">
        <v>466</v>
      </c>
      <c r="I43" s="7" t="n">
        <v>58</v>
      </c>
      <c r="J43" s="5" t="n">
        <f aca="false">E43-F43</f>
        <v>0</v>
      </c>
      <c r="K43" s="7" t="n">
        <f aca="false">F43*I43</f>
        <v>1392</v>
      </c>
      <c r="L43" s="7" t="n">
        <f aca="false">E43*I43</f>
        <v>1392</v>
      </c>
    </row>
    <row r="44" customFormat="false" ht="15" hidden="false" customHeight="false" outlineLevel="0" collapsed="false">
      <c r="A44" s="5" t="s">
        <v>242</v>
      </c>
      <c r="B44" s="5" t="n">
        <v>2</v>
      </c>
      <c r="C44" s="5" t="s">
        <v>492</v>
      </c>
      <c r="D44" s="5" t="s">
        <v>493</v>
      </c>
      <c r="E44" s="5" t="n">
        <v>15</v>
      </c>
      <c r="F44" s="5" t="n">
        <v>15</v>
      </c>
      <c r="G44" s="5" t="n">
        <v>15</v>
      </c>
      <c r="H44" s="5" t="s">
        <v>486</v>
      </c>
      <c r="I44" s="7" t="n">
        <v>135</v>
      </c>
      <c r="J44" s="5" t="n">
        <f aca="false">E44-F44</f>
        <v>0</v>
      </c>
      <c r="K44" s="7" t="n">
        <f aca="false">F44*I44</f>
        <v>2025</v>
      </c>
      <c r="L44" s="7" t="n">
        <f aca="false">E44*I44</f>
        <v>2025</v>
      </c>
    </row>
    <row r="45" customFormat="false" ht="15" hidden="false" customHeight="false" outlineLevel="0" collapsed="false">
      <c r="A45" s="5" t="s">
        <v>245</v>
      </c>
      <c r="B45" s="5" t="n">
        <v>1</v>
      </c>
      <c r="C45" s="5" t="s">
        <v>480</v>
      </c>
      <c r="D45" s="5" t="s">
        <v>481</v>
      </c>
      <c r="E45" s="5" t="n">
        <v>253</v>
      </c>
      <c r="F45" s="5" t="n">
        <v>253</v>
      </c>
      <c r="G45" s="5" t="n">
        <v>253</v>
      </c>
      <c r="H45" s="5" t="s">
        <v>466</v>
      </c>
      <c r="I45" s="7" t="n">
        <v>225.4</v>
      </c>
      <c r="J45" s="5" t="n">
        <f aca="false">E45-F45</f>
        <v>0</v>
      </c>
      <c r="K45" s="7" t="n">
        <f aca="false">F45*I45</f>
        <v>57026.2</v>
      </c>
      <c r="L45" s="7" t="n">
        <f aca="false">E45*I45</f>
        <v>57026.2</v>
      </c>
    </row>
    <row r="46" customFormat="false" ht="15" hidden="false" customHeight="false" outlineLevel="0" collapsed="false">
      <c r="A46" s="5" t="s">
        <v>245</v>
      </c>
      <c r="B46" s="5" t="n">
        <v>2</v>
      </c>
      <c r="C46" s="5" t="s">
        <v>474</v>
      </c>
      <c r="D46" s="5" t="s">
        <v>475</v>
      </c>
      <c r="E46" s="5" t="n">
        <v>115</v>
      </c>
      <c r="F46" s="5" t="n">
        <v>115</v>
      </c>
      <c r="G46" s="5" t="n">
        <v>115</v>
      </c>
      <c r="H46" s="5" t="s">
        <v>466</v>
      </c>
      <c r="I46" s="7" t="n">
        <v>191.1</v>
      </c>
      <c r="J46" s="5" t="n">
        <f aca="false">E46-F46</f>
        <v>0</v>
      </c>
      <c r="K46" s="7" t="n">
        <f aca="false">F46*I46</f>
        <v>21976.5</v>
      </c>
      <c r="L46" s="7" t="n">
        <f aca="false">E46*I46</f>
        <v>21976.5</v>
      </c>
    </row>
    <row r="47" customFormat="false" ht="15" hidden="false" customHeight="false" outlineLevel="0" collapsed="false">
      <c r="A47" s="5" t="s">
        <v>248</v>
      </c>
      <c r="B47" s="5" t="n">
        <v>1</v>
      </c>
      <c r="C47" s="5" t="s">
        <v>467</v>
      </c>
      <c r="D47" s="5" t="s">
        <v>468</v>
      </c>
      <c r="E47" s="5" t="n">
        <v>4</v>
      </c>
      <c r="F47" s="5" t="n">
        <v>4</v>
      </c>
      <c r="G47" s="5" t="n">
        <v>4</v>
      </c>
      <c r="H47" s="5" t="s">
        <v>469</v>
      </c>
      <c r="I47" s="7" t="n">
        <v>23280</v>
      </c>
      <c r="J47" s="5" t="n">
        <f aca="false">E47-F47</f>
        <v>0</v>
      </c>
      <c r="K47" s="7" t="n">
        <f aca="false">F47*I47</f>
        <v>93120</v>
      </c>
      <c r="L47" s="7" t="n">
        <f aca="false">E47*I47</f>
        <v>93120</v>
      </c>
    </row>
    <row r="48" customFormat="false" ht="15" hidden="false" customHeight="false" outlineLevel="0" collapsed="false">
      <c r="A48" s="5" t="s">
        <v>248</v>
      </c>
      <c r="B48" s="5" t="n">
        <v>2</v>
      </c>
      <c r="C48" s="5" t="s">
        <v>492</v>
      </c>
      <c r="D48" s="5" t="s">
        <v>493</v>
      </c>
      <c r="E48" s="5" t="n">
        <v>157</v>
      </c>
      <c r="F48" s="5" t="n">
        <v>157</v>
      </c>
      <c r="G48" s="5" t="n">
        <v>157</v>
      </c>
      <c r="H48" s="5" t="s">
        <v>486</v>
      </c>
      <c r="I48" s="7" t="n">
        <v>130.95</v>
      </c>
      <c r="J48" s="5" t="n">
        <f aca="false">E48-F48</f>
        <v>0</v>
      </c>
      <c r="K48" s="7" t="n">
        <f aca="false">F48*I48</f>
        <v>20559.15</v>
      </c>
      <c r="L48" s="7" t="n">
        <f aca="false">E48*I48</f>
        <v>20559.15</v>
      </c>
    </row>
    <row r="49" customFormat="false" ht="15" hidden="false" customHeight="false" outlineLevel="0" collapsed="false">
      <c r="A49" s="5" t="s">
        <v>251</v>
      </c>
      <c r="B49" s="5" t="n">
        <v>1</v>
      </c>
      <c r="C49" s="5" t="s">
        <v>492</v>
      </c>
      <c r="D49" s="5" t="s">
        <v>493</v>
      </c>
      <c r="E49" s="5" t="n">
        <v>12</v>
      </c>
      <c r="F49" s="5" t="n">
        <v>12</v>
      </c>
      <c r="G49" s="5" t="n">
        <v>12</v>
      </c>
      <c r="H49" s="5" t="s">
        <v>486</v>
      </c>
      <c r="I49" s="7" t="n">
        <v>135</v>
      </c>
      <c r="J49" s="5" t="n">
        <f aca="false">E49-F49</f>
        <v>0</v>
      </c>
      <c r="K49" s="7" t="n">
        <f aca="false">F49*I49</f>
        <v>1620</v>
      </c>
      <c r="L49" s="7" t="n">
        <f aca="false">E49*I49</f>
        <v>1620</v>
      </c>
    </row>
    <row r="50" customFormat="false" ht="15" hidden="false" customHeight="false" outlineLevel="0" collapsed="false">
      <c r="A50" s="5" t="s">
        <v>251</v>
      </c>
      <c r="B50" s="5" t="n">
        <v>2</v>
      </c>
      <c r="C50" s="5" t="s">
        <v>474</v>
      </c>
      <c r="D50" s="5" t="s">
        <v>475</v>
      </c>
      <c r="E50" s="5" t="n">
        <v>5</v>
      </c>
      <c r="F50" s="5" t="n">
        <v>5</v>
      </c>
      <c r="G50" s="5" t="n">
        <v>5</v>
      </c>
      <c r="H50" s="5" t="s">
        <v>466</v>
      </c>
      <c r="I50" s="7" t="n">
        <v>195</v>
      </c>
      <c r="J50" s="5" t="n">
        <f aca="false">E50-F50</f>
        <v>0</v>
      </c>
      <c r="K50" s="7" t="n">
        <f aca="false">F50*I50</f>
        <v>975</v>
      </c>
      <c r="L50" s="7" t="n">
        <f aca="false">E50*I50</f>
        <v>975</v>
      </c>
    </row>
    <row r="51" customFormat="false" ht="15" hidden="false" customHeight="false" outlineLevel="0" collapsed="false">
      <c r="A51" s="5" t="s">
        <v>254</v>
      </c>
      <c r="B51" s="5" t="n">
        <v>1</v>
      </c>
      <c r="C51" s="5" t="s">
        <v>472</v>
      </c>
      <c r="D51" s="5" t="s">
        <v>473</v>
      </c>
      <c r="E51" s="5" t="n">
        <v>1</v>
      </c>
      <c r="F51" s="5" t="n">
        <v>1</v>
      </c>
      <c r="G51" s="5" t="n">
        <v>1</v>
      </c>
      <c r="H51" s="5" t="s">
        <v>469</v>
      </c>
      <c r="I51" s="7" t="n">
        <v>52865</v>
      </c>
      <c r="J51" s="5" t="n">
        <f aca="false">E51-F51</f>
        <v>0</v>
      </c>
      <c r="K51" s="7" t="n">
        <f aca="false">F51*I51</f>
        <v>52865</v>
      </c>
      <c r="L51" s="7" t="n">
        <f aca="false">E51*I51</f>
        <v>52865</v>
      </c>
    </row>
    <row r="52" customFormat="false" ht="15" hidden="false" customHeight="false" outlineLevel="0" collapsed="false">
      <c r="A52" s="5" t="s">
        <v>254</v>
      </c>
      <c r="B52" s="5" t="n">
        <v>2</v>
      </c>
      <c r="C52" s="5" t="s">
        <v>498</v>
      </c>
      <c r="D52" s="5" t="s">
        <v>499</v>
      </c>
      <c r="E52" s="5" t="n">
        <v>34</v>
      </c>
      <c r="F52" s="5" t="n">
        <v>34</v>
      </c>
      <c r="G52" s="5" t="n">
        <v>34</v>
      </c>
      <c r="H52" s="5" t="s">
        <v>500</v>
      </c>
      <c r="I52" s="7" t="n">
        <v>1503.5</v>
      </c>
      <c r="J52" s="5" t="n">
        <f aca="false">E52-F52</f>
        <v>0</v>
      </c>
      <c r="K52" s="7" t="n">
        <f aca="false">F52*I52</f>
        <v>51119</v>
      </c>
      <c r="L52" s="7" t="n">
        <f aca="false">E52*I52</f>
        <v>51119</v>
      </c>
    </row>
    <row r="53" customFormat="false" ht="15" hidden="false" customHeight="false" outlineLevel="0" collapsed="false">
      <c r="A53" s="5" t="s">
        <v>257</v>
      </c>
      <c r="B53" s="5" t="n">
        <v>1</v>
      </c>
      <c r="C53" s="5" t="s">
        <v>480</v>
      </c>
      <c r="D53" s="5" t="s">
        <v>481</v>
      </c>
      <c r="E53" s="5" t="n">
        <v>7</v>
      </c>
      <c r="F53" s="5" t="n">
        <v>7</v>
      </c>
      <c r="G53" s="5" t="n">
        <v>7</v>
      </c>
      <c r="H53" s="5" t="s">
        <v>466</v>
      </c>
      <c r="I53" s="7" t="n">
        <v>230</v>
      </c>
      <c r="J53" s="5" t="n">
        <f aca="false">E53-F53</f>
        <v>0</v>
      </c>
      <c r="K53" s="7" t="n">
        <f aca="false">F53*I53</f>
        <v>1610</v>
      </c>
      <c r="L53" s="7" t="n">
        <f aca="false">E53*I53</f>
        <v>1610</v>
      </c>
    </row>
    <row r="54" customFormat="false" ht="15" hidden="false" customHeight="false" outlineLevel="0" collapsed="false">
      <c r="A54" s="5" t="s">
        <v>260</v>
      </c>
      <c r="B54" s="5" t="n">
        <v>1</v>
      </c>
      <c r="C54" s="5" t="s">
        <v>501</v>
      </c>
      <c r="D54" s="5" t="s">
        <v>502</v>
      </c>
      <c r="E54" s="5" t="n">
        <v>60</v>
      </c>
      <c r="F54" s="5" t="n">
        <v>60</v>
      </c>
      <c r="G54" s="5" t="n">
        <v>60</v>
      </c>
      <c r="H54" s="5" t="s">
        <v>466</v>
      </c>
      <c r="I54" s="7" t="n">
        <v>450</v>
      </c>
      <c r="J54" s="5" t="n">
        <f aca="false">E54-F54</f>
        <v>0</v>
      </c>
      <c r="K54" s="7" t="n">
        <f aca="false">F54*I54</f>
        <v>27000</v>
      </c>
      <c r="L54" s="7" t="n">
        <f aca="false">E54*I54</f>
        <v>27000</v>
      </c>
    </row>
    <row r="55" customFormat="false" ht="15" hidden="false" customHeight="false" outlineLevel="0" collapsed="false">
      <c r="A55" s="5" t="s">
        <v>263</v>
      </c>
      <c r="B55" s="5" t="n">
        <v>1</v>
      </c>
      <c r="C55" s="5" t="s">
        <v>474</v>
      </c>
      <c r="D55" s="5" t="s">
        <v>475</v>
      </c>
      <c r="E55" s="5" t="n">
        <v>122</v>
      </c>
      <c r="F55" s="5" t="n">
        <v>122</v>
      </c>
      <c r="G55" s="5" t="n">
        <v>122</v>
      </c>
      <c r="H55" s="5" t="s">
        <v>466</v>
      </c>
      <c r="I55" s="7" t="n">
        <v>195</v>
      </c>
      <c r="J55" s="5" t="n">
        <f aca="false">E55-F55</f>
        <v>0</v>
      </c>
      <c r="K55" s="7" t="n">
        <f aca="false">F55*I55</f>
        <v>23790</v>
      </c>
      <c r="L55" s="7" t="n">
        <f aca="false">E55*I55</f>
        <v>23790</v>
      </c>
    </row>
    <row r="56" customFormat="false" ht="15" hidden="false" customHeight="false" outlineLevel="0" collapsed="false">
      <c r="A56" s="5" t="s">
        <v>263</v>
      </c>
      <c r="B56" s="5" t="n">
        <v>2</v>
      </c>
      <c r="C56" s="5" t="s">
        <v>492</v>
      </c>
      <c r="D56" s="5" t="s">
        <v>493</v>
      </c>
      <c r="E56" s="5" t="n">
        <v>111</v>
      </c>
      <c r="F56" s="5" t="n">
        <v>111</v>
      </c>
      <c r="G56" s="5" t="n">
        <v>111</v>
      </c>
      <c r="H56" s="5" t="s">
        <v>486</v>
      </c>
      <c r="I56" s="7" t="n">
        <v>135</v>
      </c>
      <c r="J56" s="5" t="n">
        <f aca="false">E56-F56</f>
        <v>0</v>
      </c>
      <c r="K56" s="7" t="n">
        <f aca="false">F56*I56</f>
        <v>14985</v>
      </c>
      <c r="L56" s="7" t="n">
        <f aca="false">E56*I56</f>
        <v>14985</v>
      </c>
    </row>
    <row r="57" customFormat="false" ht="15" hidden="false" customHeight="false" outlineLevel="0" collapsed="false">
      <c r="A57" s="5" t="s">
        <v>263</v>
      </c>
      <c r="B57" s="5" t="n">
        <v>3</v>
      </c>
      <c r="C57" s="5" t="s">
        <v>480</v>
      </c>
      <c r="D57" s="5" t="s">
        <v>481</v>
      </c>
      <c r="E57" s="5" t="n">
        <v>384</v>
      </c>
      <c r="F57" s="5" t="n">
        <v>384</v>
      </c>
      <c r="G57" s="5" t="n">
        <v>384</v>
      </c>
      <c r="H57" s="5" t="s">
        <v>466</v>
      </c>
      <c r="I57" s="7" t="n">
        <v>230</v>
      </c>
      <c r="J57" s="5" t="n">
        <f aca="false">E57-F57</f>
        <v>0</v>
      </c>
      <c r="K57" s="7" t="n">
        <f aca="false">F57*I57</f>
        <v>88320</v>
      </c>
      <c r="L57" s="7" t="n">
        <f aca="false">E57*I57</f>
        <v>88320</v>
      </c>
    </row>
    <row r="58" customFormat="false" ht="15" hidden="false" customHeight="false" outlineLevel="0" collapsed="false">
      <c r="A58" s="5" t="s">
        <v>266</v>
      </c>
      <c r="B58" s="5" t="n">
        <v>1</v>
      </c>
      <c r="C58" s="5" t="s">
        <v>496</v>
      </c>
      <c r="D58" s="5" t="s">
        <v>497</v>
      </c>
      <c r="E58" s="5" t="n">
        <v>3</v>
      </c>
      <c r="F58" s="5" t="n">
        <v>3</v>
      </c>
      <c r="G58" s="5" t="n">
        <v>3</v>
      </c>
      <c r="H58" s="5" t="s">
        <v>469</v>
      </c>
      <c r="I58" s="7" t="n">
        <v>18620</v>
      </c>
      <c r="J58" s="5" t="n">
        <f aca="false">E58-F58</f>
        <v>0</v>
      </c>
      <c r="K58" s="7" t="n">
        <f aca="false">F58*I58</f>
        <v>55860</v>
      </c>
      <c r="L58" s="7" t="n">
        <f aca="false">E58*I58</f>
        <v>55860</v>
      </c>
    </row>
    <row r="59" customFormat="false" ht="15" hidden="false" customHeight="false" outlineLevel="0" collapsed="false">
      <c r="A59" s="5" t="s">
        <v>266</v>
      </c>
      <c r="B59" s="5" t="n">
        <v>2</v>
      </c>
      <c r="C59" s="5" t="s">
        <v>501</v>
      </c>
      <c r="D59" s="5" t="s">
        <v>502</v>
      </c>
      <c r="E59" s="5" t="n">
        <v>134</v>
      </c>
      <c r="F59" s="5" t="n">
        <v>134</v>
      </c>
      <c r="G59" s="5" t="n">
        <v>134</v>
      </c>
      <c r="H59" s="5" t="s">
        <v>466</v>
      </c>
      <c r="I59" s="7" t="n">
        <v>441</v>
      </c>
      <c r="J59" s="5" t="n">
        <f aca="false">E59-F59</f>
        <v>0</v>
      </c>
      <c r="K59" s="7" t="n">
        <f aca="false">F59*I59</f>
        <v>59094</v>
      </c>
      <c r="L59" s="7" t="n">
        <f aca="false">E59*I59</f>
        <v>59094</v>
      </c>
    </row>
    <row r="60" customFormat="false" ht="15" hidden="false" customHeight="false" outlineLevel="0" collapsed="false">
      <c r="A60" s="5" t="s">
        <v>269</v>
      </c>
      <c r="B60" s="5" t="n">
        <v>1</v>
      </c>
      <c r="C60" s="5" t="s">
        <v>480</v>
      </c>
      <c r="D60" s="5" t="s">
        <v>481</v>
      </c>
      <c r="E60" s="5" t="n">
        <v>11</v>
      </c>
      <c r="F60" s="5" t="n">
        <v>11</v>
      </c>
      <c r="G60" s="5" t="n">
        <v>11</v>
      </c>
      <c r="H60" s="5" t="s">
        <v>466</v>
      </c>
      <c r="I60" s="7" t="n">
        <v>230</v>
      </c>
      <c r="J60" s="5" t="n">
        <f aca="false">E60-F60</f>
        <v>0</v>
      </c>
      <c r="K60" s="7" t="n">
        <f aca="false">F60*I60</f>
        <v>2530</v>
      </c>
      <c r="L60" s="7" t="n">
        <f aca="false">E60*I60</f>
        <v>2530</v>
      </c>
    </row>
    <row r="61" customFormat="false" ht="15" hidden="false" customHeight="false" outlineLevel="0" collapsed="false">
      <c r="A61" s="5" t="s">
        <v>272</v>
      </c>
      <c r="B61" s="5" t="n">
        <v>1</v>
      </c>
      <c r="C61" s="5" t="s">
        <v>474</v>
      </c>
      <c r="D61" s="5" t="s">
        <v>475</v>
      </c>
      <c r="E61" s="5" t="n">
        <v>220</v>
      </c>
      <c r="F61" s="5" t="n">
        <v>220</v>
      </c>
      <c r="G61" s="5" t="n">
        <v>220</v>
      </c>
      <c r="H61" s="5" t="s">
        <v>466</v>
      </c>
      <c r="I61" s="7" t="n">
        <v>195</v>
      </c>
      <c r="J61" s="5" t="n">
        <f aca="false">E61-F61</f>
        <v>0</v>
      </c>
      <c r="K61" s="7" t="n">
        <f aca="false">F61*I61</f>
        <v>42900</v>
      </c>
      <c r="L61" s="7" t="n">
        <f aca="false">E61*I61</f>
        <v>42900</v>
      </c>
    </row>
    <row r="62" customFormat="false" ht="15" hidden="false" customHeight="false" outlineLevel="0" collapsed="false">
      <c r="A62" s="5" t="s">
        <v>272</v>
      </c>
      <c r="B62" s="5" t="n">
        <v>2</v>
      </c>
      <c r="C62" s="5" t="s">
        <v>482</v>
      </c>
      <c r="D62" s="5" t="s">
        <v>483</v>
      </c>
      <c r="E62" s="5" t="n">
        <v>3</v>
      </c>
      <c r="F62" s="5" t="n">
        <v>3</v>
      </c>
      <c r="G62" s="5" t="n">
        <v>3</v>
      </c>
      <c r="H62" s="5" t="s">
        <v>469</v>
      </c>
      <c r="I62" s="7" t="n">
        <v>1750</v>
      </c>
      <c r="J62" s="5" t="n">
        <f aca="false">E62-F62</f>
        <v>0</v>
      </c>
      <c r="K62" s="7" t="n">
        <f aca="false">F62*I62</f>
        <v>5250</v>
      </c>
      <c r="L62" s="7" t="n">
        <f aca="false">E62*I62</f>
        <v>5250</v>
      </c>
    </row>
    <row r="63" customFormat="false" ht="15" hidden="false" customHeight="false" outlineLevel="0" collapsed="false">
      <c r="A63" s="5" t="s">
        <v>275</v>
      </c>
      <c r="B63" s="5" t="n">
        <v>1</v>
      </c>
      <c r="C63" s="5" t="s">
        <v>492</v>
      </c>
      <c r="D63" s="5" t="s">
        <v>493</v>
      </c>
      <c r="E63" s="5" t="n">
        <v>240</v>
      </c>
      <c r="F63" s="5" t="n">
        <v>240</v>
      </c>
      <c r="G63" s="5" t="n">
        <v>240</v>
      </c>
      <c r="H63" s="5" t="s">
        <v>486</v>
      </c>
      <c r="I63" s="7" t="n">
        <v>130.95</v>
      </c>
      <c r="J63" s="5" t="n">
        <f aca="false">E63-F63</f>
        <v>0</v>
      </c>
      <c r="K63" s="7" t="n">
        <f aca="false">F63*I63</f>
        <v>31428</v>
      </c>
      <c r="L63" s="7" t="n">
        <f aca="false">E63*I63</f>
        <v>31428</v>
      </c>
    </row>
    <row r="64" customFormat="false" ht="15" hidden="false" customHeight="false" outlineLevel="0" collapsed="false">
      <c r="A64" s="5" t="s">
        <v>275</v>
      </c>
      <c r="B64" s="5" t="n">
        <v>2</v>
      </c>
      <c r="C64" s="5" t="s">
        <v>503</v>
      </c>
      <c r="D64" s="5" t="s">
        <v>504</v>
      </c>
      <c r="E64" s="5" t="n">
        <v>2</v>
      </c>
      <c r="F64" s="5" t="n">
        <v>2</v>
      </c>
      <c r="G64" s="5" t="n">
        <v>2</v>
      </c>
      <c r="H64" s="5" t="s">
        <v>469</v>
      </c>
      <c r="I64" s="7" t="n">
        <v>123675</v>
      </c>
      <c r="J64" s="5" t="n">
        <f aca="false">E64-F64</f>
        <v>0</v>
      </c>
      <c r="K64" s="7" t="n">
        <f aca="false">F64*I64</f>
        <v>247350</v>
      </c>
      <c r="L64" s="7" t="n">
        <f aca="false">E64*I64</f>
        <v>247350</v>
      </c>
    </row>
    <row r="65" customFormat="false" ht="15" hidden="false" customHeight="false" outlineLevel="0" collapsed="false">
      <c r="A65" s="5" t="s">
        <v>278</v>
      </c>
      <c r="B65" s="5" t="n">
        <v>1</v>
      </c>
      <c r="C65" s="5" t="s">
        <v>464</v>
      </c>
      <c r="D65" s="5" t="s">
        <v>465</v>
      </c>
      <c r="E65" s="5" t="n">
        <v>435</v>
      </c>
      <c r="F65" s="5" t="n">
        <v>435</v>
      </c>
      <c r="G65" s="5" t="n">
        <v>435</v>
      </c>
      <c r="H65" s="5" t="s">
        <v>466</v>
      </c>
      <c r="I65" s="7" t="n">
        <v>58</v>
      </c>
      <c r="J65" s="5" t="n">
        <f aca="false">E65-F65</f>
        <v>0</v>
      </c>
      <c r="K65" s="7" t="n">
        <f aca="false">F65*I65</f>
        <v>25230</v>
      </c>
      <c r="L65" s="7" t="n">
        <f aca="false">E65*I65</f>
        <v>25230</v>
      </c>
    </row>
    <row r="66" customFormat="false" ht="15" hidden="false" customHeight="false" outlineLevel="0" collapsed="false">
      <c r="A66" s="5" t="s">
        <v>278</v>
      </c>
      <c r="B66" s="5" t="n">
        <v>2</v>
      </c>
      <c r="C66" s="5" t="s">
        <v>484</v>
      </c>
      <c r="D66" s="5" t="s">
        <v>485</v>
      </c>
      <c r="E66" s="5" t="n">
        <v>64</v>
      </c>
      <c r="F66" s="5" t="n">
        <v>64</v>
      </c>
      <c r="G66" s="5" t="n">
        <v>64</v>
      </c>
      <c r="H66" s="5" t="s">
        <v>486</v>
      </c>
      <c r="I66" s="7" t="n">
        <v>170</v>
      </c>
      <c r="J66" s="5" t="n">
        <f aca="false">E66-F66</f>
        <v>0</v>
      </c>
      <c r="K66" s="7" t="n">
        <f aca="false">F66*I66</f>
        <v>10880</v>
      </c>
      <c r="L66" s="7" t="n">
        <f aca="false">E66*I66</f>
        <v>10880</v>
      </c>
    </row>
    <row r="67" customFormat="false" ht="15" hidden="false" customHeight="false" outlineLevel="0" collapsed="false">
      <c r="A67" s="5" t="s">
        <v>281</v>
      </c>
      <c r="B67" s="5" t="n">
        <v>1</v>
      </c>
      <c r="C67" s="5" t="s">
        <v>476</v>
      </c>
      <c r="D67" s="5" t="s">
        <v>477</v>
      </c>
      <c r="E67" s="5" t="n">
        <v>1</v>
      </c>
      <c r="F67" s="5" t="n">
        <v>1</v>
      </c>
      <c r="G67" s="5" t="n">
        <v>1</v>
      </c>
      <c r="H67" s="5" t="s">
        <v>469</v>
      </c>
      <c r="I67" s="7" t="n">
        <v>46075</v>
      </c>
      <c r="J67" s="5" t="n">
        <f aca="false">E67-F67</f>
        <v>0</v>
      </c>
      <c r="K67" s="7" t="n">
        <f aca="false">F67*I67</f>
        <v>46075</v>
      </c>
      <c r="L67" s="7" t="n">
        <f aca="false">E67*I67</f>
        <v>46075</v>
      </c>
    </row>
    <row r="68" customFormat="false" ht="15" hidden="false" customHeight="false" outlineLevel="0" collapsed="false">
      <c r="A68" s="5" t="s">
        <v>281</v>
      </c>
      <c r="B68" s="5" t="n">
        <v>2</v>
      </c>
      <c r="C68" s="5" t="s">
        <v>484</v>
      </c>
      <c r="D68" s="5" t="s">
        <v>485</v>
      </c>
      <c r="E68" s="5" t="n">
        <v>51</v>
      </c>
      <c r="F68" s="5" t="n">
        <v>51</v>
      </c>
      <c r="G68" s="5" t="n">
        <v>51</v>
      </c>
      <c r="H68" s="5" t="s">
        <v>486</v>
      </c>
      <c r="I68" s="7" t="n">
        <v>164.9</v>
      </c>
      <c r="J68" s="5" t="n">
        <f aca="false">E68-F68</f>
        <v>0</v>
      </c>
      <c r="K68" s="7" t="n">
        <f aca="false">F68*I68</f>
        <v>8409.9</v>
      </c>
      <c r="L68" s="7" t="n">
        <f aca="false">E68*I68</f>
        <v>8409.9</v>
      </c>
    </row>
    <row r="69" customFormat="false" ht="15" hidden="false" customHeight="false" outlineLevel="0" collapsed="false">
      <c r="A69" s="5" t="s">
        <v>284</v>
      </c>
      <c r="B69" s="5" t="n">
        <v>1</v>
      </c>
      <c r="C69" s="5" t="s">
        <v>496</v>
      </c>
      <c r="D69" s="5" t="s">
        <v>497</v>
      </c>
      <c r="E69" s="5" t="n">
        <v>4</v>
      </c>
      <c r="F69" s="5" t="n">
        <v>4</v>
      </c>
      <c r="G69" s="5" t="n">
        <v>4</v>
      </c>
      <c r="H69" s="5" t="s">
        <v>469</v>
      </c>
      <c r="I69" s="7" t="n">
        <v>18050</v>
      </c>
      <c r="J69" s="5" t="n">
        <f aca="false">E69-F69</f>
        <v>0</v>
      </c>
      <c r="K69" s="7" t="n">
        <f aca="false">F69*I69</f>
        <v>72200</v>
      </c>
      <c r="L69" s="7" t="n">
        <f aca="false">E69*I69</f>
        <v>72200</v>
      </c>
    </row>
    <row r="70" customFormat="false" ht="15" hidden="false" customHeight="false" outlineLevel="0" collapsed="false">
      <c r="A70" s="5" t="s">
        <v>284</v>
      </c>
      <c r="B70" s="5" t="n">
        <v>2</v>
      </c>
      <c r="C70" s="5" t="s">
        <v>494</v>
      </c>
      <c r="D70" s="5" t="s">
        <v>495</v>
      </c>
      <c r="E70" s="5" t="n">
        <v>13</v>
      </c>
      <c r="F70" s="5" t="n">
        <v>13</v>
      </c>
      <c r="G70" s="5" t="n">
        <v>13</v>
      </c>
      <c r="H70" s="5" t="s">
        <v>466</v>
      </c>
      <c r="I70" s="7" t="n">
        <v>608</v>
      </c>
      <c r="J70" s="5" t="n">
        <f aca="false">E70-F70</f>
        <v>0</v>
      </c>
      <c r="K70" s="7" t="n">
        <f aca="false">F70*I70</f>
        <v>7904</v>
      </c>
      <c r="L70" s="7" t="n">
        <f aca="false">E70*I70</f>
        <v>7904</v>
      </c>
    </row>
    <row r="71" customFormat="false" ht="15" hidden="false" customHeight="false" outlineLevel="0" collapsed="false">
      <c r="A71" s="5" t="s">
        <v>287</v>
      </c>
      <c r="B71" s="5" t="n">
        <v>1</v>
      </c>
      <c r="C71" s="5" t="s">
        <v>474</v>
      </c>
      <c r="D71" s="5" t="s">
        <v>475</v>
      </c>
      <c r="E71" s="5" t="n">
        <v>275</v>
      </c>
      <c r="F71" s="5" t="n">
        <v>275</v>
      </c>
      <c r="G71" s="5" t="n">
        <v>275</v>
      </c>
      <c r="H71" s="5" t="s">
        <v>466</v>
      </c>
      <c r="I71" s="7" t="n">
        <v>185.25</v>
      </c>
      <c r="J71" s="5" t="n">
        <f aca="false">E71-F71</f>
        <v>0</v>
      </c>
      <c r="K71" s="7" t="n">
        <f aca="false">F71*I71</f>
        <v>50943.75</v>
      </c>
      <c r="L71" s="7" t="n">
        <f aca="false">E71*I71</f>
        <v>50943.75</v>
      </c>
    </row>
    <row r="72" customFormat="false" ht="15" hidden="false" customHeight="false" outlineLevel="0" collapsed="false">
      <c r="A72" s="5" t="s">
        <v>287</v>
      </c>
      <c r="B72" s="5" t="n">
        <v>2</v>
      </c>
      <c r="C72" s="5" t="s">
        <v>501</v>
      </c>
      <c r="D72" s="5" t="s">
        <v>502</v>
      </c>
      <c r="E72" s="5" t="n">
        <v>50</v>
      </c>
      <c r="F72" s="5" t="n">
        <v>50</v>
      </c>
      <c r="G72" s="5" t="n">
        <v>50</v>
      </c>
      <c r="H72" s="5" t="s">
        <v>466</v>
      </c>
      <c r="I72" s="7" t="n">
        <v>427.5</v>
      </c>
      <c r="J72" s="5" t="n">
        <f aca="false">E72-F72</f>
        <v>0</v>
      </c>
      <c r="K72" s="7" t="n">
        <f aca="false">F72*I72</f>
        <v>21375</v>
      </c>
      <c r="L72" s="7" t="n">
        <f aca="false">E72*I72</f>
        <v>21375</v>
      </c>
    </row>
    <row r="73" customFormat="false" ht="15" hidden="false" customHeight="false" outlineLevel="0" collapsed="false">
      <c r="A73" s="5" t="s">
        <v>291</v>
      </c>
      <c r="B73" s="5" t="n">
        <v>1</v>
      </c>
      <c r="C73" s="5" t="s">
        <v>490</v>
      </c>
      <c r="D73" s="5" t="s">
        <v>491</v>
      </c>
      <c r="E73" s="5" t="n">
        <v>108</v>
      </c>
      <c r="F73" s="5" t="n">
        <v>108</v>
      </c>
      <c r="G73" s="5" t="n">
        <v>108</v>
      </c>
      <c r="H73" s="5" t="s">
        <v>466</v>
      </c>
      <c r="I73" s="7" t="n">
        <v>290</v>
      </c>
      <c r="J73" s="5" t="n">
        <f aca="false">E73-F73</f>
        <v>0</v>
      </c>
      <c r="K73" s="7" t="n">
        <f aca="false">F73*I73</f>
        <v>31320</v>
      </c>
      <c r="L73" s="7" t="n">
        <f aca="false">E73*I73</f>
        <v>31320</v>
      </c>
    </row>
    <row r="74" customFormat="false" ht="15" hidden="false" customHeight="false" outlineLevel="0" collapsed="false">
      <c r="A74" s="5" t="s">
        <v>291</v>
      </c>
      <c r="B74" s="5" t="n">
        <v>2</v>
      </c>
      <c r="C74" s="5" t="s">
        <v>467</v>
      </c>
      <c r="D74" s="5" t="s">
        <v>468</v>
      </c>
      <c r="E74" s="5" t="n">
        <v>3</v>
      </c>
      <c r="F74" s="5" t="n">
        <v>3</v>
      </c>
      <c r="G74" s="5" t="n">
        <v>3</v>
      </c>
      <c r="H74" s="5" t="s">
        <v>469</v>
      </c>
      <c r="I74" s="7" t="n">
        <v>24000</v>
      </c>
      <c r="J74" s="5" t="n">
        <f aca="false">E74-F74</f>
        <v>0</v>
      </c>
      <c r="K74" s="7" t="n">
        <f aca="false">F74*I74</f>
        <v>72000</v>
      </c>
      <c r="L74" s="7" t="n">
        <f aca="false">E74*I74</f>
        <v>72000</v>
      </c>
    </row>
    <row r="75" customFormat="false" ht="15" hidden="false" customHeight="false" outlineLevel="0" collapsed="false">
      <c r="A75" s="5" t="s">
        <v>291</v>
      </c>
      <c r="B75" s="5" t="n">
        <v>3</v>
      </c>
      <c r="C75" s="5" t="s">
        <v>480</v>
      </c>
      <c r="D75" s="5" t="s">
        <v>481</v>
      </c>
      <c r="E75" s="5" t="n">
        <v>318</v>
      </c>
      <c r="F75" s="5" t="n">
        <v>318</v>
      </c>
      <c r="G75" s="5" t="n">
        <v>318</v>
      </c>
      <c r="H75" s="5" t="s">
        <v>466</v>
      </c>
      <c r="I75" s="7" t="n">
        <v>230</v>
      </c>
      <c r="J75" s="5" t="n">
        <f aca="false">E75-F75</f>
        <v>0</v>
      </c>
      <c r="K75" s="7" t="n">
        <f aca="false">F75*I75</f>
        <v>73140</v>
      </c>
      <c r="L75" s="7" t="n">
        <f aca="false">E75*I75</f>
        <v>73140</v>
      </c>
    </row>
    <row r="76" customFormat="false" ht="15" hidden="false" customHeight="false" outlineLevel="0" collapsed="false">
      <c r="A76" s="5" t="s">
        <v>294</v>
      </c>
      <c r="B76" s="5" t="n">
        <v>1</v>
      </c>
      <c r="C76" s="5" t="s">
        <v>476</v>
      </c>
      <c r="D76" s="5" t="s">
        <v>477</v>
      </c>
      <c r="E76" s="5" t="n">
        <v>1</v>
      </c>
      <c r="F76" s="5" t="n">
        <v>1</v>
      </c>
      <c r="G76" s="5" t="n">
        <v>1</v>
      </c>
      <c r="H76" s="5" t="s">
        <v>469</v>
      </c>
      <c r="I76" s="7" t="n">
        <v>46550</v>
      </c>
      <c r="J76" s="5" t="n">
        <f aca="false">E76-F76</f>
        <v>0</v>
      </c>
      <c r="K76" s="7" t="n">
        <f aca="false">F76*I76</f>
        <v>46550</v>
      </c>
      <c r="L76" s="7" t="n">
        <f aca="false">E76*I76</f>
        <v>46550</v>
      </c>
    </row>
    <row r="77" customFormat="false" ht="15" hidden="false" customHeight="false" outlineLevel="0" collapsed="false">
      <c r="A77" s="5" t="s">
        <v>294</v>
      </c>
      <c r="B77" s="5" t="n">
        <v>2</v>
      </c>
      <c r="C77" s="5" t="s">
        <v>470</v>
      </c>
      <c r="D77" s="5" t="s">
        <v>471</v>
      </c>
      <c r="E77" s="5" t="n">
        <v>4</v>
      </c>
      <c r="F77" s="5" t="n">
        <v>4</v>
      </c>
      <c r="G77" s="5" t="n">
        <v>4</v>
      </c>
      <c r="H77" s="5" t="s">
        <v>469</v>
      </c>
      <c r="I77" s="7" t="n">
        <v>4998</v>
      </c>
      <c r="J77" s="5" t="n">
        <f aca="false">E77-F77</f>
        <v>0</v>
      </c>
      <c r="K77" s="7" t="n">
        <f aca="false">F77*I77</f>
        <v>19992</v>
      </c>
      <c r="L77" s="7" t="n">
        <f aca="false">E77*I77</f>
        <v>19992</v>
      </c>
    </row>
    <row r="78" customFormat="false" ht="15" hidden="false" customHeight="false" outlineLevel="0" collapsed="false">
      <c r="A78" s="5" t="s">
        <v>294</v>
      </c>
      <c r="B78" s="5" t="n">
        <v>3</v>
      </c>
      <c r="C78" s="5" t="s">
        <v>464</v>
      </c>
      <c r="D78" s="5" t="s">
        <v>465</v>
      </c>
      <c r="E78" s="5" t="n">
        <v>265</v>
      </c>
      <c r="F78" s="5" t="n">
        <v>265</v>
      </c>
      <c r="G78" s="5" t="n">
        <v>265</v>
      </c>
      <c r="H78" s="5" t="s">
        <v>466</v>
      </c>
      <c r="I78" s="7" t="n">
        <v>56.84</v>
      </c>
      <c r="J78" s="5" t="n">
        <f aca="false">E78-F78</f>
        <v>0</v>
      </c>
      <c r="K78" s="7" t="n">
        <f aca="false">F78*I78</f>
        <v>15062.6</v>
      </c>
      <c r="L78" s="7" t="n">
        <f aca="false">E78*I78</f>
        <v>15062.6</v>
      </c>
    </row>
    <row r="79" customFormat="false" ht="15" hidden="false" customHeight="false" outlineLevel="0" collapsed="false">
      <c r="A79" s="5" t="s">
        <v>297</v>
      </c>
      <c r="B79" s="5" t="n">
        <v>1</v>
      </c>
      <c r="C79" s="5" t="s">
        <v>482</v>
      </c>
      <c r="D79" s="5" t="s">
        <v>483</v>
      </c>
      <c r="E79" s="5" t="n">
        <v>1</v>
      </c>
      <c r="F79" s="5" t="n">
        <v>1</v>
      </c>
      <c r="G79" s="5" t="n">
        <v>1</v>
      </c>
      <c r="H79" s="5" t="s">
        <v>469</v>
      </c>
      <c r="I79" s="7" t="n">
        <v>1750</v>
      </c>
      <c r="J79" s="5" t="n">
        <f aca="false">E79-F79</f>
        <v>0</v>
      </c>
      <c r="K79" s="7" t="n">
        <f aca="false">F79*I79</f>
        <v>1750</v>
      </c>
      <c r="L79" s="7" t="n">
        <f aca="false">E79*I79</f>
        <v>1750</v>
      </c>
    </row>
    <row r="80" customFormat="false" ht="15" hidden="false" customHeight="false" outlineLevel="0" collapsed="false">
      <c r="A80" s="5" t="s">
        <v>297</v>
      </c>
      <c r="B80" s="5" t="n">
        <v>2</v>
      </c>
      <c r="C80" s="5" t="s">
        <v>492</v>
      </c>
      <c r="D80" s="5" t="s">
        <v>493</v>
      </c>
      <c r="E80" s="5" t="n">
        <v>17</v>
      </c>
      <c r="F80" s="5" t="n">
        <v>17</v>
      </c>
      <c r="G80" s="5" t="n">
        <v>17</v>
      </c>
      <c r="H80" s="5" t="s">
        <v>486</v>
      </c>
      <c r="I80" s="7" t="n">
        <v>135</v>
      </c>
      <c r="J80" s="5" t="n">
        <f aca="false">E80-F80</f>
        <v>0</v>
      </c>
      <c r="K80" s="7" t="n">
        <f aca="false">F80*I80</f>
        <v>2295</v>
      </c>
      <c r="L80" s="7" t="n">
        <f aca="false">E80*I80</f>
        <v>2295</v>
      </c>
    </row>
    <row r="81" customFormat="false" ht="15" hidden="false" customHeight="false" outlineLevel="0" collapsed="false">
      <c r="A81" s="5" t="s">
        <v>300</v>
      </c>
      <c r="B81" s="5" t="n">
        <v>1</v>
      </c>
      <c r="C81" s="5" t="s">
        <v>474</v>
      </c>
      <c r="D81" s="5" t="s">
        <v>475</v>
      </c>
      <c r="E81" s="5" t="n">
        <v>8</v>
      </c>
      <c r="F81" s="5" t="n">
        <v>8</v>
      </c>
      <c r="G81" s="5" t="n">
        <v>8</v>
      </c>
      <c r="H81" s="5" t="s">
        <v>466</v>
      </c>
      <c r="I81" s="7" t="n">
        <v>195</v>
      </c>
      <c r="J81" s="5" t="n">
        <f aca="false">E81-F81</f>
        <v>0</v>
      </c>
      <c r="K81" s="7" t="n">
        <f aca="false">F81*I81</f>
        <v>1560</v>
      </c>
      <c r="L81" s="7" t="n">
        <f aca="false">E81*I81</f>
        <v>1560</v>
      </c>
    </row>
    <row r="82" customFormat="false" ht="15" hidden="false" customHeight="false" outlineLevel="0" collapsed="false">
      <c r="A82" s="5" t="s">
        <v>303</v>
      </c>
      <c r="B82" s="5" t="n">
        <v>1</v>
      </c>
      <c r="C82" s="5" t="s">
        <v>467</v>
      </c>
      <c r="D82" s="5" t="s">
        <v>468</v>
      </c>
      <c r="E82" s="5" t="n">
        <v>6</v>
      </c>
      <c r="F82" s="5" t="n">
        <v>6</v>
      </c>
      <c r="G82" s="5" t="n">
        <v>6</v>
      </c>
      <c r="H82" s="5" t="s">
        <v>469</v>
      </c>
      <c r="I82" s="7" t="n">
        <v>24000</v>
      </c>
      <c r="J82" s="5" t="n">
        <f aca="false">E82-F82</f>
        <v>0</v>
      </c>
      <c r="K82" s="7" t="n">
        <f aca="false">F82*I82</f>
        <v>144000</v>
      </c>
      <c r="L82" s="7" t="n">
        <f aca="false">E82*I82</f>
        <v>144000</v>
      </c>
    </row>
    <row r="83" customFormat="false" ht="15" hidden="false" customHeight="false" outlineLevel="0" collapsed="false">
      <c r="A83" s="5" t="s">
        <v>303</v>
      </c>
      <c r="B83" s="5" t="n">
        <v>2</v>
      </c>
      <c r="C83" s="5" t="s">
        <v>470</v>
      </c>
      <c r="D83" s="5" t="s">
        <v>471</v>
      </c>
      <c r="E83" s="5" t="n">
        <v>3</v>
      </c>
      <c r="F83" s="5" t="n">
        <v>3</v>
      </c>
      <c r="G83" s="5" t="n">
        <v>3</v>
      </c>
      <c r="H83" s="5" t="s">
        <v>469</v>
      </c>
      <c r="I83" s="7" t="n">
        <v>5100</v>
      </c>
      <c r="J83" s="5" t="n">
        <f aca="false">E83-F83</f>
        <v>0</v>
      </c>
      <c r="K83" s="7" t="n">
        <f aca="false">F83*I83</f>
        <v>15300</v>
      </c>
      <c r="L83" s="7" t="n">
        <f aca="false">E83*I83</f>
        <v>15300</v>
      </c>
    </row>
    <row r="84" customFormat="false" ht="15" hidden="false" customHeight="false" outlineLevel="0" collapsed="false">
      <c r="A84" s="5" t="s">
        <v>306</v>
      </c>
      <c r="B84" s="5" t="n">
        <v>1</v>
      </c>
      <c r="C84" s="5" t="s">
        <v>492</v>
      </c>
      <c r="D84" s="5" t="s">
        <v>493</v>
      </c>
      <c r="E84" s="5" t="n">
        <v>10</v>
      </c>
      <c r="F84" s="5" t="n">
        <v>10</v>
      </c>
      <c r="G84" s="5" t="n">
        <v>10</v>
      </c>
      <c r="H84" s="5" t="s">
        <v>486</v>
      </c>
      <c r="I84" s="7" t="n">
        <v>135</v>
      </c>
      <c r="J84" s="5" t="n">
        <f aca="false">E84-F84</f>
        <v>0</v>
      </c>
      <c r="K84" s="7" t="n">
        <f aca="false">F84*I84</f>
        <v>1350</v>
      </c>
      <c r="L84" s="7" t="n">
        <f aca="false">E84*I84</f>
        <v>1350</v>
      </c>
    </row>
    <row r="85" customFormat="false" ht="15" hidden="false" customHeight="false" outlineLevel="0" collapsed="false">
      <c r="A85" s="5" t="s">
        <v>306</v>
      </c>
      <c r="B85" s="5" t="n">
        <v>2</v>
      </c>
      <c r="C85" s="5" t="s">
        <v>474</v>
      </c>
      <c r="D85" s="5" t="s">
        <v>475</v>
      </c>
      <c r="E85" s="5" t="n">
        <v>8</v>
      </c>
      <c r="F85" s="5" t="n">
        <v>8</v>
      </c>
      <c r="G85" s="5" t="n">
        <v>8</v>
      </c>
      <c r="H85" s="5" t="s">
        <v>466</v>
      </c>
      <c r="I85" s="7" t="n">
        <v>195</v>
      </c>
      <c r="J85" s="5" t="n">
        <f aca="false">E85-F85</f>
        <v>0</v>
      </c>
      <c r="K85" s="7" t="n">
        <f aca="false">F85*I85</f>
        <v>1560</v>
      </c>
      <c r="L85" s="7" t="n">
        <f aca="false">E85*I85</f>
        <v>1560</v>
      </c>
    </row>
    <row r="86" customFormat="false" ht="15" hidden="false" customHeight="false" outlineLevel="0" collapsed="false">
      <c r="A86" s="5" t="s">
        <v>309</v>
      </c>
      <c r="B86" s="5" t="n">
        <v>1</v>
      </c>
      <c r="C86" s="5" t="s">
        <v>474</v>
      </c>
      <c r="D86" s="5" t="s">
        <v>475</v>
      </c>
      <c r="E86" s="5" t="n">
        <v>179</v>
      </c>
      <c r="F86" s="5" t="n">
        <v>179</v>
      </c>
      <c r="G86" s="5" t="n">
        <v>179</v>
      </c>
      <c r="H86" s="5" t="s">
        <v>466</v>
      </c>
      <c r="I86" s="7" t="n">
        <v>195</v>
      </c>
      <c r="J86" s="5" t="n">
        <f aca="false">E86-F86</f>
        <v>0</v>
      </c>
      <c r="K86" s="7" t="n">
        <f aca="false">F86*I86</f>
        <v>34905</v>
      </c>
      <c r="L86" s="7" t="n">
        <f aca="false">E86*I86</f>
        <v>34905</v>
      </c>
    </row>
    <row r="87" customFormat="false" ht="15" hidden="false" customHeight="false" outlineLevel="0" collapsed="false">
      <c r="A87" s="5" t="s">
        <v>309</v>
      </c>
      <c r="B87" s="5" t="n">
        <v>2</v>
      </c>
      <c r="C87" s="5" t="s">
        <v>496</v>
      </c>
      <c r="D87" s="5" t="s">
        <v>497</v>
      </c>
      <c r="E87" s="5" t="n">
        <v>2</v>
      </c>
      <c r="F87" s="5" t="n">
        <v>2</v>
      </c>
      <c r="G87" s="5" t="n">
        <v>2</v>
      </c>
      <c r="H87" s="5" t="s">
        <v>469</v>
      </c>
      <c r="I87" s="7" t="n">
        <v>19000</v>
      </c>
      <c r="J87" s="5" t="n">
        <f aca="false">E87-F87</f>
        <v>0</v>
      </c>
      <c r="K87" s="7" t="n">
        <f aca="false">F87*I87</f>
        <v>38000</v>
      </c>
      <c r="L87" s="7" t="n">
        <f aca="false">E87*I87</f>
        <v>38000</v>
      </c>
    </row>
    <row r="88" customFormat="false" ht="15" hidden="false" customHeight="false" outlineLevel="0" collapsed="false">
      <c r="A88" s="5" t="s">
        <v>312</v>
      </c>
      <c r="B88" s="5" t="n">
        <v>1</v>
      </c>
      <c r="C88" s="5" t="s">
        <v>467</v>
      </c>
      <c r="D88" s="5" t="s">
        <v>468</v>
      </c>
      <c r="E88" s="5" t="n">
        <v>5</v>
      </c>
      <c r="F88" s="5" t="n">
        <v>5</v>
      </c>
      <c r="G88" s="5" t="n">
        <v>5</v>
      </c>
      <c r="H88" s="5" t="s">
        <v>469</v>
      </c>
      <c r="I88" s="7" t="n">
        <v>23280</v>
      </c>
      <c r="J88" s="5" t="n">
        <f aca="false">E88-F88</f>
        <v>0</v>
      </c>
      <c r="K88" s="7" t="n">
        <f aca="false">F88*I88</f>
        <v>116400</v>
      </c>
      <c r="L88" s="7" t="n">
        <f aca="false">E88*I88</f>
        <v>116400</v>
      </c>
    </row>
    <row r="89" customFormat="false" ht="15" hidden="false" customHeight="false" outlineLevel="0" collapsed="false">
      <c r="A89" s="5" t="s">
        <v>312</v>
      </c>
      <c r="B89" s="5" t="n">
        <v>2</v>
      </c>
      <c r="C89" s="5" t="s">
        <v>474</v>
      </c>
      <c r="D89" s="5" t="s">
        <v>475</v>
      </c>
      <c r="E89" s="5" t="n">
        <v>259</v>
      </c>
      <c r="F89" s="5" t="n">
        <v>259</v>
      </c>
      <c r="G89" s="5" t="n">
        <v>259</v>
      </c>
      <c r="H89" s="5" t="s">
        <v>466</v>
      </c>
      <c r="I89" s="7" t="n">
        <v>189.15</v>
      </c>
      <c r="J89" s="5" t="n">
        <f aca="false">E89-F89</f>
        <v>0</v>
      </c>
      <c r="K89" s="7" t="n">
        <f aca="false">F89*I89</f>
        <v>48989.85</v>
      </c>
      <c r="L89" s="7" t="n">
        <f aca="false">E89*I89</f>
        <v>48989.85</v>
      </c>
    </row>
    <row r="90" customFormat="false" ht="15" hidden="false" customHeight="false" outlineLevel="0" collapsed="false">
      <c r="A90" s="5" t="s">
        <v>315</v>
      </c>
      <c r="B90" s="5" t="n">
        <v>1</v>
      </c>
      <c r="C90" s="5" t="s">
        <v>464</v>
      </c>
      <c r="D90" s="5" t="s">
        <v>465</v>
      </c>
      <c r="E90" s="5" t="n">
        <v>378</v>
      </c>
      <c r="F90" s="5" t="n">
        <v>378</v>
      </c>
      <c r="G90" s="5" t="n">
        <v>378</v>
      </c>
      <c r="H90" s="5" t="s">
        <v>466</v>
      </c>
      <c r="I90" s="7" t="n">
        <v>56.84</v>
      </c>
      <c r="J90" s="5" t="n">
        <f aca="false">E90-F90</f>
        <v>0</v>
      </c>
      <c r="K90" s="7" t="n">
        <f aca="false">F90*I90</f>
        <v>21485.52</v>
      </c>
      <c r="L90" s="7" t="n">
        <f aca="false">E90*I90</f>
        <v>21485.52</v>
      </c>
    </row>
    <row r="91" customFormat="false" ht="15" hidden="false" customHeight="false" outlineLevel="0" collapsed="false">
      <c r="A91" s="5" t="s">
        <v>315</v>
      </c>
      <c r="B91" s="5" t="n">
        <v>2</v>
      </c>
      <c r="C91" s="5" t="s">
        <v>467</v>
      </c>
      <c r="D91" s="5" t="s">
        <v>468</v>
      </c>
      <c r="E91" s="5" t="n">
        <v>4</v>
      </c>
      <c r="F91" s="5" t="n">
        <v>4</v>
      </c>
      <c r="G91" s="5" t="n">
        <v>4</v>
      </c>
      <c r="H91" s="5" t="s">
        <v>469</v>
      </c>
      <c r="I91" s="7" t="n">
        <v>23520</v>
      </c>
      <c r="J91" s="5" t="n">
        <f aca="false">E91-F91</f>
        <v>0</v>
      </c>
      <c r="K91" s="7" t="n">
        <f aca="false">F91*I91</f>
        <v>94080</v>
      </c>
      <c r="L91" s="7" t="n">
        <f aca="false">E91*I91</f>
        <v>94080</v>
      </c>
    </row>
    <row r="92" customFormat="false" ht="15" hidden="false" customHeight="false" outlineLevel="0" collapsed="false">
      <c r="A92" s="5" t="s">
        <v>318</v>
      </c>
      <c r="B92" s="5" t="n">
        <v>1</v>
      </c>
      <c r="C92" s="5" t="s">
        <v>503</v>
      </c>
      <c r="D92" s="5" t="s">
        <v>504</v>
      </c>
      <c r="E92" s="5" t="n">
        <v>2</v>
      </c>
      <c r="F92" s="5" t="n">
        <v>2</v>
      </c>
      <c r="G92" s="5" t="n">
        <v>2</v>
      </c>
      <c r="H92" s="5" t="s">
        <v>469</v>
      </c>
      <c r="I92" s="7" t="n">
        <v>123675</v>
      </c>
      <c r="J92" s="5" t="n">
        <f aca="false">E92-F92</f>
        <v>0</v>
      </c>
      <c r="K92" s="7" t="n">
        <f aca="false">F92*I92</f>
        <v>247350</v>
      </c>
      <c r="L92" s="7" t="n">
        <f aca="false">E92*I92</f>
        <v>247350</v>
      </c>
    </row>
    <row r="93" customFormat="false" ht="15" hidden="false" customHeight="false" outlineLevel="0" collapsed="false">
      <c r="A93" s="5" t="s">
        <v>318</v>
      </c>
      <c r="B93" s="5" t="n">
        <v>2</v>
      </c>
      <c r="C93" s="5" t="s">
        <v>490</v>
      </c>
      <c r="D93" s="5" t="s">
        <v>491</v>
      </c>
      <c r="E93" s="5" t="n">
        <v>146</v>
      </c>
      <c r="F93" s="5" t="n">
        <v>146</v>
      </c>
      <c r="G93" s="5" t="n">
        <v>146</v>
      </c>
      <c r="H93" s="5" t="s">
        <v>466</v>
      </c>
      <c r="I93" s="7" t="n">
        <v>281.3</v>
      </c>
      <c r="J93" s="5" t="n">
        <f aca="false">E93-F93</f>
        <v>0</v>
      </c>
      <c r="K93" s="7" t="n">
        <f aca="false">F93*I93</f>
        <v>41069.8</v>
      </c>
      <c r="L93" s="7" t="n">
        <f aca="false">E93*I93</f>
        <v>41069.8</v>
      </c>
    </row>
    <row r="94" customFormat="false" ht="15" hidden="false" customHeight="false" outlineLevel="0" collapsed="false">
      <c r="A94" s="5" t="s">
        <v>318</v>
      </c>
      <c r="B94" s="5" t="n">
        <v>3</v>
      </c>
      <c r="C94" s="5" t="s">
        <v>484</v>
      </c>
      <c r="D94" s="5" t="s">
        <v>485</v>
      </c>
      <c r="E94" s="5" t="n">
        <v>86</v>
      </c>
      <c r="F94" s="5" t="n">
        <v>86</v>
      </c>
      <c r="G94" s="5" t="n">
        <v>86</v>
      </c>
      <c r="H94" s="5" t="s">
        <v>486</v>
      </c>
      <c r="I94" s="7" t="n">
        <v>164.9</v>
      </c>
      <c r="J94" s="5" t="n">
        <f aca="false">E94-F94</f>
        <v>0</v>
      </c>
      <c r="K94" s="7" t="n">
        <f aca="false">F94*I94</f>
        <v>14181.4</v>
      </c>
      <c r="L94" s="7" t="n">
        <f aca="false">E94*I94</f>
        <v>14181.4</v>
      </c>
    </row>
    <row r="95" customFormat="false" ht="15" hidden="false" customHeight="false" outlineLevel="0" collapsed="false">
      <c r="A95" s="5" t="s">
        <v>321</v>
      </c>
      <c r="B95" s="5" t="n">
        <v>1</v>
      </c>
      <c r="C95" s="5" t="s">
        <v>505</v>
      </c>
      <c r="D95" s="5" t="s">
        <v>506</v>
      </c>
      <c r="E95" s="5" t="n">
        <v>5</v>
      </c>
      <c r="F95" s="5" t="n">
        <v>5</v>
      </c>
      <c r="G95" s="5" t="n">
        <v>5</v>
      </c>
      <c r="H95" s="5" t="s">
        <v>507</v>
      </c>
      <c r="I95" s="7" t="n">
        <v>1029</v>
      </c>
      <c r="J95" s="5" t="n">
        <f aca="false">E95-F95</f>
        <v>0</v>
      </c>
      <c r="K95" s="7" t="n">
        <f aca="false">F95*I95</f>
        <v>5145</v>
      </c>
      <c r="L95" s="7" t="n">
        <f aca="false">E95*I95</f>
        <v>5145</v>
      </c>
    </row>
    <row r="96" customFormat="false" ht="15" hidden="false" customHeight="false" outlineLevel="0" collapsed="false">
      <c r="A96" s="5" t="s">
        <v>321</v>
      </c>
      <c r="B96" s="5" t="n">
        <v>2</v>
      </c>
      <c r="C96" s="5" t="s">
        <v>474</v>
      </c>
      <c r="D96" s="5" t="s">
        <v>475</v>
      </c>
      <c r="E96" s="5" t="n">
        <v>260</v>
      </c>
      <c r="F96" s="5" t="n">
        <v>260</v>
      </c>
      <c r="G96" s="5" t="n">
        <v>260</v>
      </c>
      <c r="H96" s="5" t="s">
        <v>466</v>
      </c>
      <c r="I96" s="7" t="n">
        <v>191.1</v>
      </c>
      <c r="J96" s="5" t="n">
        <f aca="false">E96-F96</f>
        <v>0</v>
      </c>
      <c r="K96" s="7" t="n">
        <f aca="false">F96*I96</f>
        <v>49686</v>
      </c>
      <c r="L96" s="7" t="n">
        <f aca="false">E96*I96</f>
        <v>49686</v>
      </c>
    </row>
    <row r="97" customFormat="false" ht="15" hidden="false" customHeight="false" outlineLevel="0" collapsed="false">
      <c r="A97" s="5" t="s">
        <v>321</v>
      </c>
      <c r="B97" s="5" t="n">
        <v>3</v>
      </c>
      <c r="C97" s="5" t="s">
        <v>494</v>
      </c>
      <c r="D97" s="5" t="s">
        <v>495</v>
      </c>
      <c r="E97" s="5" t="n">
        <v>7</v>
      </c>
      <c r="F97" s="5" t="n">
        <v>7</v>
      </c>
      <c r="G97" s="5" t="n">
        <v>7</v>
      </c>
      <c r="H97" s="5" t="s">
        <v>466</v>
      </c>
      <c r="I97" s="7" t="n">
        <v>627.2</v>
      </c>
      <c r="J97" s="5" t="n">
        <f aca="false">E97-F97</f>
        <v>0</v>
      </c>
      <c r="K97" s="7" t="n">
        <f aca="false">F97*I97</f>
        <v>4390.4</v>
      </c>
      <c r="L97" s="7" t="n">
        <f aca="false">E97*I97</f>
        <v>4390.4</v>
      </c>
    </row>
    <row r="98" customFormat="false" ht="15" hidden="false" customHeight="false" outlineLevel="0" collapsed="false">
      <c r="A98" s="5" t="s">
        <v>321</v>
      </c>
      <c r="B98" s="5" t="n">
        <v>4</v>
      </c>
      <c r="C98" s="5" t="s">
        <v>492</v>
      </c>
      <c r="D98" s="5" t="s">
        <v>493</v>
      </c>
      <c r="E98" s="5" t="n">
        <v>173</v>
      </c>
      <c r="F98" s="5" t="n">
        <v>173</v>
      </c>
      <c r="G98" s="5" t="n">
        <v>173</v>
      </c>
      <c r="H98" s="5" t="s">
        <v>486</v>
      </c>
      <c r="I98" s="7" t="n">
        <v>132.3</v>
      </c>
      <c r="J98" s="5" t="n">
        <f aca="false">E98-F98</f>
        <v>0</v>
      </c>
      <c r="K98" s="7" t="n">
        <f aca="false">F98*I98</f>
        <v>22887.9</v>
      </c>
      <c r="L98" s="7" t="n">
        <f aca="false">E98*I98</f>
        <v>22887.9</v>
      </c>
    </row>
    <row r="99" customFormat="false" ht="15" hidden="false" customHeight="false" outlineLevel="0" collapsed="false">
      <c r="A99" s="5" t="s">
        <v>324</v>
      </c>
      <c r="B99" s="5" t="n">
        <v>1</v>
      </c>
      <c r="C99" s="5" t="s">
        <v>474</v>
      </c>
      <c r="D99" s="5" t="s">
        <v>475</v>
      </c>
      <c r="E99" s="5" t="n">
        <v>295</v>
      </c>
      <c r="F99" s="5" t="n">
        <v>295</v>
      </c>
      <c r="G99" s="5" t="n">
        <v>295</v>
      </c>
      <c r="H99" s="5" t="s">
        <v>466</v>
      </c>
      <c r="I99" s="7" t="n">
        <v>189.15</v>
      </c>
      <c r="J99" s="5" t="n">
        <f aca="false">E99-F99</f>
        <v>0</v>
      </c>
      <c r="K99" s="7" t="n">
        <f aca="false">F99*I99</f>
        <v>55799.25</v>
      </c>
      <c r="L99" s="7" t="n">
        <f aca="false">E99*I99</f>
        <v>55799.25</v>
      </c>
    </row>
    <row r="100" customFormat="false" ht="15" hidden="false" customHeight="false" outlineLevel="0" collapsed="false">
      <c r="A100" s="5" t="s">
        <v>324</v>
      </c>
      <c r="B100" s="5" t="n">
        <v>2</v>
      </c>
      <c r="C100" s="5" t="s">
        <v>492</v>
      </c>
      <c r="D100" s="5" t="s">
        <v>493</v>
      </c>
      <c r="E100" s="5" t="n">
        <v>186</v>
      </c>
      <c r="F100" s="5" t="n">
        <v>186</v>
      </c>
      <c r="G100" s="5" t="n">
        <v>186</v>
      </c>
      <c r="H100" s="5" t="s">
        <v>486</v>
      </c>
      <c r="I100" s="7" t="n">
        <v>130.95</v>
      </c>
      <c r="J100" s="5" t="n">
        <f aca="false">E100-F100</f>
        <v>0</v>
      </c>
      <c r="K100" s="7" t="n">
        <f aca="false">F100*I100</f>
        <v>24356.7</v>
      </c>
      <c r="L100" s="7" t="n">
        <f aca="false">E100*I100</f>
        <v>24356.7</v>
      </c>
    </row>
    <row r="101" customFormat="false" ht="15" hidden="false" customHeight="false" outlineLevel="0" collapsed="false">
      <c r="A101" s="5" t="s">
        <v>327</v>
      </c>
      <c r="B101" s="5" t="n">
        <v>1</v>
      </c>
      <c r="C101" s="5" t="s">
        <v>474</v>
      </c>
      <c r="D101" s="5" t="s">
        <v>475</v>
      </c>
      <c r="E101" s="5" t="n">
        <v>19</v>
      </c>
      <c r="F101" s="5" t="n">
        <v>19</v>
      </c>
      <c r="G101" s="5" t="n">
        <v>19</v>
      </c>
      <c r="H101" s="5" t="s">
        <v>466</v>
      </c>
      <c r="I101" s="7" t="n">
        <v>195</v>
      </c>
      <c r="J101" s="5" t="n">
        <f aca="false">E101-F101</f>
        <v>0</v>
      </c>
      <c r="K101" s="7" t="n">
        <f aca="false">F101*I101</f>
        <v>3705</v>
      </c>
      <c r="L101" s="7" t="n">
        <f aca="false">E101*I101</f>
        <v>3705</v>
      </c>
    </row>
    <row r="102" customFormat="false" ht="15" hidden="false" customHeight="false" outlineLevel="0" collapsed="false">
      <c r="A102" s="5" t="s">
        <v>327</v>
      </c>
      <c r="B102" s="5" t="n">
        <v>2</v>
      </c>
      <c r="C102" s="5" t="s">
        <v>464</v>
      </c>
      <c r="D102" s="5" t="s">
        <v>465</v>
      </c>
      <c r="E102" s="5" t="n">
        <v>27</v>
      </c>
      <c r="F102" s="5" t="n">
        <v>27</v>
      </c>
      <c r="G102" s="5" t="n">
        <v>27</v>
      </c>
      <c r="H102" s="5" t="s">
        <v>466</v>
      </c>
      <c r="I102" s="7" t="n">
        <v>58</v>
      </c>
      <c r="J102" s="5" t="n">
        <f aca="false">E102-F102</f>
        <v>0</v>
      </c>
      <c r="K102" s="7" t="n">
        <f aca="false">F102*I102</f>
        <v>1566</v>
      </c>
      <c r="L102" s="7" t="n">
        <f aca="false">E102*I102</f>
        <v>1566</v>
      </c>
    </row>
    <row r="103" customFormat="false" ht="15" hidden="false" customHeight="false" outlineLevel="0" collapsed="false">
      <c r="A103" s="5" t="s">
        <v>330</v>
      </c>
      <c r="B103" s="5" t="n">
        <v>1</v>
      </c>
      <c r="C103" s="5" t="s">
        <v>484</v>
      </c>
      <c r="D103" s="5" t="s">
        <v>485</v>
      </c>
      <c r="E103" s="5" t="n">
        <v>54</v>
      </c>
      <c r="F103" s="5" t="n">
        <v>54</v>
      </c>
      <c r="G103" s="5" t="n">
        <v>54</v>
      </c>
      <c r="H103" s="5" t="s">
        <v>486</v>
      </c>
      <c r="I103" s="7" t="n">
        <v>170</v>
      </c>
      <c r="J103" s="5" t="n">
        <f aca="false">E103-F103</f>
        <v>0</v>
      </c>
      <c r="K103" s="7" t="n">
        <f aca="false">F103*I103</f>
        <v>9180</v>
      </c>
      <c r="L103" s="7" t="n">
        <f aca="false">E103*I103</f>
        <v>9180</v>
      </c>
    </row>
    <row r="104" customFormat="false" ht="15" hidden="false" customHeight="false" outlineLevel="0" collapsed="false">
      <c r="A104" s="5" t="s">
        <v>330</v>
      </c>
      <c r="B104" s="5" t="n">
        <v>2</v>
      </c>
      <c r="C104" s="5" t="s">
        <v>494</v>
      </c>
      <c r="D104" s="5" t="s">
        <v>495</v>
      </c>
      <c r="E104" s="5" t="n">
        <v>17</v>
      </c>
      <c r="F104" s="5" t="n">
        <v>17</v>
      </c>
      <c r="G104" s="5" t="n">
        <v>17</v>
      </c>
      <c r="H104" s="5" t="s">
        <v>466</v>
      </c>
      <c r="I104" s="7" t="n">
        <v>640</v>
      </c>
      <c r="J104" s="5" t="n">
        <f aca="false">E104-F104</f>
        <v>0</v>
      </c>
      <c r="K104" s="7" t="n">
        <f aca="false">F104*I104</f>
        <v>10880</v>
      </c>
      <c r="L104" s="7" t="n">
        <f aca="false">E104*I104</f>
        <v>10880</v>
      </c>
    </row>
    <row r="105" customFormat="false" ht="15" hidden="false" customHeight="false" outlineLevel="0" collapsed="false">
      <c r="A105" s="5" t="s">
        <v>333</v>
      </c>
      <c r="B105" s="5" t="n">
        <v>1</v>
      </c>
      <c r="C105" s="5" t="s">
        <v>508</v>
      </c>
      <c r="D105" s="5" t="s">
        <v>509</v>
      </c>
      <c r="E105" s="5" t="n">
        <v>3</v>
      </c>
      <c r="F105" s="5" t="n">
        <v>3</v>
      </c>
      <c r="G105" s="5" t="n">
        <v>3</v>
      </c>
      <c r="H105" s="5" t="s">
        <v>469</v>
      </c>
      <c r="I105" s="7" t="n">
        <v>40255</v>
      </c>
      <c r="J105" s="5" t="n">
        <f aca="false">E105-F105</f>
        <v>0</v>
      </c>
      <c r="K105" s="7" t="n">
        <f aca="false">F105*I105</f>
        <v>120765</v>
      </c>
      <c r="L105" s="7" t="n">
        <f aca="false">E105*I105</f>
        <v>120765</v>
      </c>
    </row>
    <row r="106" customFormat="false" ht="15" hidden="false" customHeight="false" outlineLevel="0" collapsed="false">
      <c r="A106" s="5" t="s">
        <v>333</v>
      </c>
      <c r="B106" s="5" t="n">
        <v>2</v>
      </c>
      <c r="C106" s="5" t="s">
        <v>476</v>
      </c>
      <c r="D106" s="5" t="s">
        <v>477</v>
      </c>
      <c r="E106" s="5" t="n">
        <v>2</v>
      </c>
      <c r="F106" s="5" t="n">
        <v>2</v>
      </c>
      <c r="G106" s="5" t="n">
        <v>2</v>
      </c>
      <c r="H106" s="5" t="s">
        <v>469</v>
      </c>
      <c r="I106" s="7" t="n">
        <v>46075</v>
      </c>
      <c r="J106" s="5" t="n">
        <f aca="false">E106-F106</f>
        <v>0</v>
      </c>
      <c r="K106" s="7" t="n">
        <f aca="false">F106*I106</f>
        <v>92150</v>
      </c>
      <c r="L106" s="7" t="n">
        <f aca="false">E106*I106</f>
        <v>92150</v>
      </c>
    </row>
    <row r="107" customFormat="false" ht="15" hidden="false" customHeight="false" outlineLevel="0" collapsed="false">
      <c r="A107" s="5" t="s">
        <v>333</v>
      </c>
      <c r="B107" s="5" t="n">
        <v>3</v>
      </c>
      <c r="C107" s="5" t="s">
        <v>464</v>
      </c>
      <c r="D107" s="5" t="s">
        <v>465</v>
      </c>
      <c r="E107" s="5" t="n">
        <v>239</v>
      </c>
      <c r="F107" s="5" t="n">
        <v>239</v>
      </c>
      <c r="G107" s="5" t="n">
        <v>239</v>
      </c>
      <c r="H107" s="5" t="s">
        <v>466</v>
      </c>
      <c r="I107" s="7" t="n">
        <v>56.26</v>
      </c>
      <c r="J107" s="5" t="n">
        <f aca="false">E107-F107</f>
        <v>0</v>
      </c>
      <c r="K107" s="7" t="n">
        <f aca="false">F107*I107</f>
        <v>13446.14</v>
      </c>
      <c r="L107" s="7" t="n">
        <f aca="false">E107*I107</f>
        <v>13446.14</v>
      </c>
    </row>
    <row r="108" customFormat="false" ht="15" hidden="false" customHeight="false" outlineLevel="0" collapsed="false">
      <c r="A108" s="5" t="s">
        <v>336</v>
      </c>
      <c r="B108" s="5" t="n">
        <v>1</v>
      </c>
      <c r="C108" s="5" t="s">
        <v>464</v>
      </c>
      <c r="D108" s="5" t="s">
        <v>465</v>
      </c>
      <c r="E108" s="5" t="n">
        <v>29</v>
      </c>
      <c r="F108" s="5" t="n">
        <v>29</v>
      </c>
      <c r="G108" s="5" t="n">
        <v>29</v>
      </c>
      <c r="H108" s="5" t="s">
        <v>466</v>
      </c>
      <c r="I108" s="7" t="n">
        <v>58</v>
      </c>
      <c r="J108" s="5" t="n">
        <f aca="false">E108-F108</f>
        <v>0</v>
      </c>
      <c r="K108" s="7" t="n">
        <f aca="false">F108*I108</f>
        <v>1682</v>
      </c>
      <c r="L108" s="7" t="n">
        <f aca="false">E108*I108</f>
        <v>1682</v>
      </c>
    </row>
    <row r="109" customFormat="false" ht="15" hidden="false" customHeight="false" outlineLevel="0" collapsed="false">
      <c r="A109" s="5" t="s">
        <v>339</v>
      </c>
      <c r="B109" s="5" t="n">
        <v>1</v>
      </c>
      <c r="C109" s="5" t="s">
        <v>492</v>
      </c>
      <c r="D109" s="5" t="s">
        <v>493</v>
      </c>
      <c r="E109" s="5" t="n">
        <v>14</v>
      </c>
      <c r="F109" s="5" t="n">
        <v>14</v>
      </c>
      <c r="G109" s="5" t="n">
        <v>14</v>
      </c>
      <c r="H109" s="5" t="s">
        <v>486</v>
      </c>
      <c r="I109" s="7" t="n">
        <v>135</v>
      </c>
      <c r="J109" s="5" t="n">
        <f aca="false">E109-F109</f>
        <v>0</v>
      </c>
      <c r="K109" s="7" t="n">
        <f aca="false">F109*I109</f>
        <v>1890</v>
      </c>
      <c r="L109" s="7" t="n">
        <f aca="false">E109*I109</f>
        <v>1890</v>
      </c>
    </row>
    <row r="110" customFormat="false" ht="15" hidden="false" customHeight="false" outlineLevel="0" collapsed="false">
      <c r="A110" s="5" t="s">
        <v>339</v>
      </c>
      <c r="B110" s="5" t="n">
        <v>2</v>
      </c>
      <c r="C110" s="5" t="s">
        <v>464</v>
      </c>
      <c r="D110" s="5" t="s">
        <v>465</v>
      </c>
      <c r="E110" s="5" t="n">
        <v>27</v>
      </c>
      <c r="F110" s="5" t="n">
        <v>27</v>
      </c>
      <c r="G110" s="5" t="n">
        <v>27</v>
      </c>
      <c r="H110" s="5" t="s">
        <v>466</v>
      </c>
      <c r="I110" s="7" t="n">
        <v>58</v>
      </c>
      <c r="J110" s="5" t="n">
        <f aca="false">E110-F110</f>
        <v>0</v>
      </c>
      <c r="K110" s="7" t="n">
        <f aca="false">F110*I110</f>
        <v>1566</v>
      </c>
      <c r="L110" s="7" t="n">
        <f aca="false">E110*I110</f>
        <v>1566</v>
      </c>
    </row>
    <row r="111" customFormat="false" ht="15" hidden="false" customHeight="false" outlineLevel="0" collapsed="false">
      <c r="A111" s="5" t="s">
        <v>342</v>
      </c>
      <c r="B111" s="5" t="n">
        <v>1</v>
      </c>
      <c r="C111" s="5" t="s">
        <v>480</v>
      </c>
      <c r="D111" s="5" t="s">
        <v>481</v>
      </c>
      <c r="E111" s="5" t="n">
        <v>234</v>
      </c>
      <c r="F111" s="5" t="n">
        <v>234</v>
      </c>
      <c r="G111" s="5" t="n">
        <v>234</v>
      </c>
      <c r="H111" s="5" t="s">
        <v>466</v>
      </c>
      <c r="I111" s="7" t="n">
        <v>223.1</v>
      </c>
      <c r="J111" s="5" t="n">
        <f aca="false">E111-F111</f>
        <v>0</v>
      </c>
      <c r="K111" s="7" t="n">
        <f aca="false">F111*I111</f>
        <v>52205.4</v>
      </c>
      <c r="L111" s="7" t="n">
        <f aca="false">E111*I111</f>
        <v>52205.4</v>
      </c>
    </row>
    <row r="112" customFormat="false" ht="15" hidden="false" customHeight="false" outlineLevel="0" collapsed="false">
      <c r="A112" s="5" t="s">
        <v>342</v>
      </c>
      <c r="B112" s="5" t="n">
        <v>2</v>
      </c>
      <c r="C112" s="5" t="s">
        <v>498</v>
      </c>
      <c r="D112" s="5" t="s">
        <v>499</v>
      </c>
      <c r="E112" s="5" t="n">
        <v>22</v>
      </c>
      <c r="F112" s="5" t="n">
        <v>22</v>
      </c>
      <c r="G112" s="5" t="n">
        <v>22</v>
      </c>
      <c r="H112" s="5" t="s">
        <v>500</v>
      </c>
      <c r="I112" s="7" t="n">
        <v>1503.5</v>
      </c>
      <c r="J112" s="5" t="n">
        <f aca="false">E112-F112</f>
        <v>0</v>
      </c>
      <c r="K112" s="7" t="n">
        <f aca="false">F112*I112</f>
        <v>33077</v>
      </c>
      <c r="L112" s="7" t="n">
        <f aca="false">E112*I112</f>
        <v>33077</v>
      </c>
    </row>
    <row r="113" customFormat="false" ht="15" hidden="false" customHeight="false" outlineLevel="0" collapsed="false">
      <c r="A113" s="5" t="s">
        <v>345</v>
      </c>
      <c r="B113" s="5" t="n">
        <v>1</v>
      </c>
      <c r="C113" s="5" t="s">
        <v>480</v>
      </c>
      <c r="D113" s="5" t="s">
        <v>481</v>
      </c>
      <c r="E113" s="5" t="n">
        <v>12</v>
      </c>
      <c r="F113" s="5" t="n">
        <v>12</v>
      </c>
      <c r="G113" s="5" t="n">
        <v>12</v>
      </c>
      <c r="H113" s="5" t="s">
        <v>466</v>
      </c>
      <c r="I113" s="7" t="n">
        <v>230</v>
      </c>
      <c r="J113" s="5" t="n">
        <f aca="false">E113-F113</f>
        <v>0</v>
      </c>
      <c r="K113" s="7" t="n">
        <f aca="false">F113*I113</f>
        <v>2760</v>
      </c>
      <c r="L113" s="7" t="n">
        <f aca="false">E113*I113</f>
        <v>2760</v>
      </c>
    </row>
    <row r="114" customFormat="false" ht="15" hidden="false" customHeight="false" outlineLevel="0" collapsed="false">
      <c r="A114" s="5" t="s">
        <v>345</v>
      </c>
      <c r="B114" s="5" t="n">
        <v>2</v>
      </c>
      <c r="C114" s="5" t="s">
        <v>474</v>
      </c>
      <c r="D114" s="5" t="s">
        <v>475</v>
      </c>
      <c r="E114" s="5" t="n">
        <v>8</v>
      </c>
      <c r="F114" s="5" t="n">
        <v>8</v>
      </c>
      <c r="G114" s="5" t="n">
        <v>8</v>
      </c>
      <c r="H114" s="5" t="s">
        <v>466</v>
      </c>
      <c r="I114" s="7" t="n">
        <v>195</v>
      </c>
      <c r="J114" s="5" t="n">
        <f aca="false">E114-F114</f>
        <v>0</v>
      </c>
      <c r="K114" s="7" t="n">
        <f aca="false">F114*I114</f>
        <v>1560</v>
      </c>
      <c r="L114" s="7" t="n">
        <f aca="false">E114*I114</f>
        <v>1560</v>
      </c>
    </row>
    <row r="115" customFormat="false" ht="15" hidden="false" customHeight="false" outlineLevel="0" collapsed="false">
      <c r="A115" s="5" t="s">
        <v>349</v>
      </c>
      <c r="B115" s="5" t="n">
        <v>1</v>
      </c>
      <c r="C115" s="5" t="s">
        <v>508</v>
      </c>
      <c r="D115" s="5" t="s">
        <v>509</v>
      </c>
      <c r="E115" s="5" t="n">
        <v>3</v>
      </c>
      <c r="F115" s="5" t="n">
        <v>3</v>
      </c>
      <c r="G115" s="5" t="n">
        <v>3</v>
      </c>
      <c r="H115" s="5" t="s">
        <v>469</v>
      </c>
      <c r="I115" s="7" t="n">
        <v>40670</v>
      </c>
      <c r="J115" s="5" t="n">
        <f aca="false">E115-F115</f>
        <v>0</v>
      </c>
      <c r="K115" s="7" t="n">
        <f aca="false">F115*I115</f>
        <v>122010</v>
      </c>
      <c r="L115" s="7" t="n">
        <f aca="false">E115*I115</f>
        <v>122010</v>
      </c>
    </row>
    <row r="116" customFormat="false" ht="15" hidden="false" customHeight="false" outlineLevel="0" collapsed="false">
      <c r="A116" s="5" t="s">
        <v>349</v>
      </c>
      <c r="B116" s="5" t="n">
        <v>2</v>
      </c>
      <c r="C116" s="5" t="s">
        <v>467</v>
      </c>
      <c r="D116" s="5" t="s">
        <v>468</v>
      </c>
      <c r="E116" s="5" t="n">
        <v>5</v>
      </c>
      <c r="F116" s="5" t="n">
        <v>5</v>
      </c>
      <c r="G116" s="5" t="n">
        <v>5</v>
      </c>
      <c r="H116" s="5" t="s">
        <v>469</v>
      </c>
      <c r="I116" s="7" t="n">
        <v>23520</v>
      </c>
      <c r="J116" s="5" t="n">
        <f aca="false">E116-F116</f>
        <v>0</v>
      </c>
      <c r="K116" s="7" t="n">
        <f aca="false">F116*I116</f>
        <v>117600</v>
      </c>
      <c r="L116" s="7" t="n">
        <f aca="false">E116*I116</f>
        <v>117600</v>
      </c>
    </row>
    <row r="117" customFormat="false" ht="15" hidden="false" customHeight="false" outlineLevel="0" collapsed="false">
      <c r="A117" s="5" t="s">
        <v>349</v>
      </c>
      <c r="B117" s="5" t="n">
        <v>3</v>
      </c>
      <c r="C117" s="5" t="s">
        <v>490</v>
      </c>
      <c r="D117" s="5" t="s">
        <v>491</v>
      </c>
      <c r="E117" s="5" t="n">
        <v>181</v>
      </c>
      <c r="F117" s="5" t="n">
        <v>181</v>
      </c>
      <c r="G117" s="5" t="n">
        <v>181</v>
      </c>
      <c r="H117" s="5" t="s">
        <v>466</v>
      </c>
      <c r="I117" s="7" t="n">
        <v>284.2</v>
      </c>
      <c r="J117" s="5" t="n">
        <f aca="false">E117-F117</f>
        <v>0</v>
      </c>
      <c r="K117" s="7" t="n">
        <f aca="false">F117*I117</f>
        <v>51440.2</v>
      </c>
      <c r="L117" s="7" t="n">
        <f aca="false">E117*I117</f>
        <v>51440.2</v>
      </c>
    </row>
    <row r="118" customFormat="false" ht="15" hidden="false" customHeight="false" outlineLevel="0" collapsed="false">
      <c r="A118" s="5" t="s">
        <v>349</v>
      </c>
      <c r="B118" s="5" t="n">
        <v>4</v>
      </c>
      <c r="C118" s="5" t="s">
        <v>501</v>
      </c>
      <c r="D118" s="5" t="s">
        <v>502</v>
      </c>
      <c r="E118" s="5" t="n">
        <v>87</v>
      </c>
      <c r="F118" s="5" t="n">
        <v>87</v>
      </c>
      <c r="G118" s="5" t="n">
        <v>87</v>
      </c>
      <c r="H118" s="5" t="s">
        <v>466</v>
      </c>
      <c r="I118" s="7" t="n">
        <v>441</v>
      </c>
      <c r="J118" s="5" t="n">
        <f aca="false">E118-F118</f>
        <v>0</v>
      </c>
      <c r="K118" s="7" t="n">
        <f aca="false">F118*I118</f>
        <v>38367</v>
      </c>
      <c r="L118" s="7" t="n">
        <f aca="false">E118*I118</f>
        <v>38367</v>
      </c>
    </row>
    <row r="119" customFormat="false" ht="15" hidden="false" customHeight="false" outlineLevel="0" collapsed="false">
      <c r="A119" s="5" t="s">
        <v>352</v>
      </c>
      <c r="B119" s="5" t="n">
        <v>1</v>
      </c>
      <c r="C119" s="5" t="s">
        <v>480</v>
      </c>
      <c r="D119" s="5" t="s">
        <v>481</v>
      </c>
      <c r="E119" s="5" t="n">
        <v>199</v>
      </c>
      <c r="F119" s="5" t="n">
        <v>199</v>
      </c>
      <c r="G119" s="5" t="n">
        <v>199</v>
      </c>
      <c r="H119" s="5" t="s">
        <v>466</v>
      </c>
      <c r="I119" s="7" t="n">
        <v>225.4</v>
      </c>
      <c r="J119" s="5" t="n">
        <f aca="false">E119-F119</f>
        <v>0</v>
      </c>
      <c r="K119" s="7" t="n">
        <f aca="false">F119*I119</f>
        <v>44854.6</v>
      </c>
      <c r="L119" s="7" t="n">
        <f aca="false">E119*I119</f>
        <v>44854.6</v>
      </c>
    </row>
    <row r="120" customFormat="false" ht="15" hidden="false" customHeight="false" outlineLevel="0" collapsed="false">
      <c r="A120" s="5" t="s">
        <v>352</v>
      </c>
      <c r="B120" s="5" t="n">
        <v>2</v>
      </c>
      <c r="C120" s="5" t="s">
        <v>474</v>
      </c>
      <c r="D120" s="5" t="s">
        <v>475</v>
      </c>
      <c r="E120" s="5" t="n">
        <v>184</v>
      </c>
      <c r="F120" s="5" t="n">
        <v>184</v>
      </c>
      <c r="G120" s="5" t="n">
        <v>184</v>
      </c>
      <c r="H120" s="5" t="s">
        <v>466</v>
      </c>
      <c r="I120" s="7" t="n">
        <v>191.1</v>
      </c>
      <c r="J120" s="5" t="n">
        <f aca="false">E120-F120</f>
        <v>0</v>
      </c>
      <c r="K120" s="7" t="n">
        <f aca="false">F120*I120</f>
        <v>35162.4</v>
      </c>
      <c r="L120" s="7" t="n">
        <f aca="false">E120*I120</f>
        <v>35162.4</v>
      </c>
    </row>
    <row r="121" customFormat="false" ht="15" hidden="false" customHeight="false" outlineLevel="0" collapsed="false">
      <c r="A121" s="5" t="s">
        <v>352</v>
      </c>
      <c r="B121" s="5" t="n">
        <v>3</v>
      </c>
      <c r="C121" s="5" t="s">
        <v>492</v>
      </c>
      <c r="D121" s="5" t="s">
        <v>493</v>
      </c>
      <c r="E121" s="5" t="n">
        <v>241</v>
      </c>
      <c r="F121" s="5" t="n">
        <v>241</v>
      </c>
      <c r="G121" s="5" t="n">
        <v>241</v>
      </c>
      <c r="H121" s="5" t="s">
        <v>486</v>
      </c>
      <c r="I121" s="7" t="n">
        <v>132.3</v>
      </c>
      <c r="J121" s="5" t="n">
        <f aca="false">E121-F121</f>
        <v>0</v>
      </c>
      <c r="K121" s="7" t="n">
        <f aca="false">F121*I121</f>
        <v>31884.3</v>
      </c>
      <c r="L121" s="7" t="n">
        <f aca="false">E121*I121</f>
        <v>31884.3</v>
      </c>
    </row>
    <row r="122" customFormat="false" ht="15" hidden="false" customHeight="false" outlineLevel="0" collapsed="false">
      <c r="A122" s="5" t="s">
        <v>355</v>
      </c>
      <c r="B122" s="5" t="n">
        <v>1</v>
      </c>
      <c r="C122" s="5" t="s">
        <v>467</v>
      </c>
      <c r="D122" s="5" t="s">
        <v>468</v>
      </c>
      <c r="E122" s="5" t="n">
        <v>3</v>
      </c>
      <c r="F122" s="5" t="n">
        <v>3</v>
      </c>
      <c r="G122" s="5" t="n">
        <v>3</v>
      </c>
      <c r="H122" s="5" t="s">
        <v>469</v>
      </c>
      <c r="I122" s="7" t="n">
        <v>24000</v>
      </c>
      <c r="J122" s="5" t="n">
        <f aca="false">E122-F122</f>
        <v>0</v>
      </c>
      <c r="K122" s="7" t="n">
        <f aca="false">F122*I122</f>
        <v>72000</v>
      </c>
      <c r="L122" s="7" t="n">
        <f aca="false">E122*I122</f>
        <v>72000</v>
      </c>
    </row>
    <row r="123" customFormat="false" ht="15" hidden="false" customHeight="false" outlineLevel="0" collapsed="false">
      <c r="A123" s="5" t="s">
        <v>355</v>
      </c>
      <c r="B123" s="5" t="n">
        <v>2</v>
      </c>
      <c r="C123" s="5" t="s">
        <v>474</v>
      </c>
      <c r="D123" s="5" t="s">
        <v>475</v>
      </c>
      <c r="E123" s="5" t="n">
        <v>182</v>
      </c>
      <c r="F123" s="5" t="n">
        <v>182</v>
      </c>
      <c r="G123" s="5" t="n">
        <v>182</v>
      </c>
      <c r="H123" s="5" t="s">
        <v>466</v>
      </c>
      <c r="I123" s="7" t="n">
        <v>195</v>
      </c>
      <c r="J123" s="5" t="n">
        <f aca="false">E123-F123</f>
        <v>0</v>
      </c>
      <c r="K123" s="7" t="n">
        <f aca="false">F123*I123</f>
        <v>35490</v>
      </c>
      <c r="L123" s="7" t="n">
        <f aca="false">E123*I123</f>
        <v>35490</v>
      </c>
    </row>
    <row r="124" customFormat="false" ht="15" hidden="false" customHeight="false" outlineLevel="0" collapsed="false">
      <c r="A124" s="5" t="s">
        <v>355</v>
      </c>
      <c r="B124" s="5" t="n">
        <v>3</v>
      </c>
      <c r="C124" s="5" t="s">
        <v>464</v>
      </c>
      <c r="D124" s="5" t="s">
        <v>465</v>
      </c>
      <c r="E124" s="5" t="n">
        <v>200</v>
      </c>
      <c r="F124" s="5" t="n">
        <v>200</v>
      </c>
      <c r="G124" s="5" t="n">
        <v>200</v>
      </c>
      <c r="H124" s="5" t="s">
        <v>466</v>
      </c>
      <c r="I124" s="7" t="n">
        <v>58</v>
      </c>
      <c r="J124" s="5" t="n">
        <f aca="false">E124-F124</f>
        <v>0</v>
      </c>
      <c r="K124" s="7" t="n">
        <f aca="false">F124*I124</f>
        <v>11600</v>
      </c>
      <c r="L124" s="7" t="n">
        <f aca="false">E124*I124</f>
        <v>11600</v>
      </c>
    </row>
    <row r="125" customFormat="false" ht="15" hidden="false" customHeight="false" outlineLevel="0" collapsed="false">
      <c r="A125" s="5" t="s">
        <v>358</v>
      </c>
      <c r="B125" s="5" t="n">
        <v>1</v>
      </c>
      <c r="C125" s="5" t="s">
        <v>510</v>
      </c>
      <c r="D125" s="5" t="s">
        <v>511</v>
      </c>
      <c r="E125" s="5" t="n">
        <v>1</v>
      </c>
      <c r="F125" s="5" t="n">
        <v>1</v>
      </c>
      <c r="G125" s="5" t="n">
        <v>1</v>
      </c>
      <c r="H125" s="5" t="s">
        <v>469</v>
      </c>
      <c r="I125" s="7" t="n">
        <v>23125000</v>
      </c>
      <c r="J125" s="5" t="n">
        <f aca="false">E125-F125</f>
        <v>0</v>
      </c>
      <c r="K125" s="7" t="n">
        <f aca="false">F125*I125</f>
        <v>23125000</v>
      </c>
      <c r="L125" s="7" t="n">
        <f aca="false">E125*I125</f>
        <v>23125000</v>
      </c>
    </row>
    <row r="126" customFormat="false" ht="15" hidden="false" customHeight="false" outlineLevel="0" collapsed="false">
      <c r="A126" s="5" t="s">
        <v>361</v>
      </c>
      <c r="B126" s="5" t="n">
        <v>1</v>
      </c>
      <c r="C126" s="5" t="s">
        <v>474</v>
      </c>
      <c r="D126" s="5" t="s">
        <v>475</v>
      </c>
      <c r="E126" s="5" t="n">
        <v>11</v>
      </c>
      <c r="F126" s="5" t="n">
        <v>11</v>
      </c>
      <c r="G126" s="5" t="n">
        <v>11</v>
      </c>
      <c r="H126" s="5" t="s">
        <v>466</v>
      </c>
      <c r="I126" s="7" t="n">
        <v>195</v>
      </c>
      <c r="J126" s="5" t="n">
        <f aca="false">E126-F126</f>
        <v>0</v>
      </c>
      <c r="K126" s="7" t="n">
        <f aca="false">F126*I126</f>
        <v>2145</v>
      </c>
      <c r="L126" s="7" t="n">
        <f aca="false">E126*I126</f>
        <v>2145</v>
      </c>
    </row>
    <row r="127" customFormat="false" ht="15" hidden="false" customHeight="false" outlineLevel="0" collapsed="false">
      <c r="A127" s="5" t="s">
        <v>361</v>
      </c>
      <c r="B127" s="5" t="n">
        <v>2</v>
      </c>
      <c r="C127" s="5" t="s">
        <v>464</v>
      </c>
      <c r="D127" s="5" t="s">
        <v>465</v>
      </c>
      <c r="E127" s="5" t="n">
        <v>20</v>
      </c>
      <c r="F127" s="5" t="n">
        <v>20</v>
      </c>
      <c r="G127" s="5" t="n">
        <v>20</v>
      </c>
      <c r="H127" s="5" t="s">
        <v>466</v>
      </c>
      <c r="I127" s="7" t="n">
        <v>58</v>
      </c>
      <c r="J127" s="5" t="n">
        <f aca="false">E127-F127</f>
        <v>0</v>
      </c>
      <c r="K127" s="7" t="n">
        <f aca="false">F127*I127</f>
        <v>1160</v>
      </c>
      <c r="L127" s="7" t="n">
        <f aca="false">E127*I127</f>
        <v>1160</v>
      </c>
    </row>
    <row r="128" customFormat="false" ht="15" hidden="false" customHeight="false" outlineLevel="0" collapsed="false">
      <c r="A128" s="5" t="s">
        <v>364</v>
      </c>
      <c r="B128" s="5" t="n">
        <v>1</v>
      </c>
      <c r="C128" s="5" t="s">
        <v>464</v>
      </c>
      <c r="D128" s="5" t="s">
        <v>465</v>
      </c>
      <c r="E128" s="5" t="n">
        <v>5</v>
      </c>
      <c r="F128" s="5" t="n">
        <v>5</v>
      </c>
      <c r="G128" s="5" t="n">
        <v>5</v>
      </c>
      <c r="H128" s="5" t="s">
        <v>466</v>
      </c>
      <c r="I128" s="7" t="n">
        <v>58</v>
      </c>
      <c r="J128" s="5" t="n">
        <f aca="false">E128-F128</f>
        <v>0</v>
      </c>
      <c r="K128" s="7" t="n">
        <f aca="false">F128*I128</f>
        <v>290</v>
      </c>
      <c r="L128" s="7" t="n">
        <f aca="false">E128*I128</f>
        <v>290</v>
      </c>
    </row>
    <row r="129" customFormat="false" ht="15" hidden="false" customHeight="false" outlineLevel="0" collapsed="false">
      <c r="A129" s="5" t="s">
        <v>364</v>
      </c>
      <c r="B129" s="5" t="n">
        <v>2</v>
      </c>
      <c r="C129" s="5" t="s">
        <v>474</v>
      </c>
      <c r="D129" s="5" t="s">
        <v>475</v>
      </c>
      <c r="E129" s="5" t="n">
        <v>10</v>
      </c>
      <c r="F129" s="5" t="n">
        <v>10</v>
      </c>
      <c r="G129" s="5" t="n">
        <v>10</v>
      </c>
      <c r="H129" s="5" t="s">
        <v>466</v>
      </c>
      <c r="I129" s="7" t="n">
        <v>195</v>
      </c>
      <c r="J129" s="5" t="n">
        <f aca="false">E129-F129</f>
        <v>0</v>
      </c>
      <c r="K129" s="7" t="n">
        <f aca="false">F129*I129</f>
        <v>1950</v>
      </c>
      <c r="L129" s="7" t="n">
        <f aca="false">E129*I129</f>
        <v>1950</v>
      </c>
    </row>
    <row r="130" customFormat="false" ht="15" hidden="false" customHeight="false" outlineLevel="0" collapsed="false">
      <c r="A130" s="5" t="s">
        <v>367</v>
      </c>
      <c r="B130" s="5" t="n">
        <v>1</v>
      </c>
      <c r="C130" s="5" t="s">
        <v>480</v>
      </c>
      <c r="D130" s="5" t="s">
        <v>481</v>
      </c>
      <c r="E130" s="5" t="n">
        <v>170</v>
      </c>
      <c r="F130" s="5" t="n">
        <v>170</v>
      </c>
      <c r="G130" s="5" t="n">
        <v>170</v>
      </c>
      <c r="H130" s="5" t="s">
        <v>466</v>
      </c>
      <c r="I130" s="7" t="n">
        <v>230</v>
      </c>
      <c r="J130" s="5" t="n">
        <f aca="false">E130-F130</f>
        <v>0</v>
      </c>
      <c r="K130" s="7" t="n">
        <f aca="false">F130*I130</f>
        <v>39100</v>
      </c>
      <c r="L130" s="7" t="n">
        <f aca="false">E130*I130</f>
        <v>39100</v>
      </c>
    </row>
    <row r="131" customFormat="false" ht="15" hidden="false" customHeight="false" outlineLevel="0" collapsed="false">
      <c r="A131" s="5" t="s">
        <v>367</v>
      </c>
      <c r="B131" s="5" t="n">
        <v>2</v>
      </c>
      <c r="C131" s="5" t="s">
        <v>476</v>
      </c>
      <c r="D131" s="5" t="s">
        <v>477</v>
      </c>
      <c r="E131" s="5" t="n">
        <v>1</v>
      </c>
      <c r="F131" s="5" t="n">
        <v>1</v>
      </c>
      <c r="G131" s="5" t="n">
        <v>1</v>
      </c>
      <c r="H131" s="5" t="s">
        <v>469</v>
      </c>
      <c r="I131" s="7" t="n">
        <v>47500</v>
      </c>
      <c r="J131" s="5" t="n">
        <f aca="false">E131-F131</f>
        <v>0</v>
      </c>
      <c r="K131" s="7" t="n">
        <f aca="false">F131*I131</f>
        <v>47500</v>
      </c>
      <c r="L131" s="7" t="n">
        <f aca="false">E131*I131</f>
        <v>47500</v>
      </c>
    </row>
    <row r="132" customFormat="false" ht="15" hidden="false" customHeight="false" outlineLevel="0" collapsed="false">
      <c r="A132" s="5" t="s">
        <v>370</v>
      </c>
      <c r="B132" s="5" t="n">
        <v>1</v>
      </c>
      <c r="C132" s="5" t="s">
        <v>482</v>
      </c>
      <c r="D132" s="5" t="s">
        <v>483</v>
      </c>
      <c r="E132" s="5" t="n">
        <v>5</v>
      </c>
      <c r="F132" s="5" t="n">
        <v>5</v>
      </c>
      <c r="G132" s="5" t="n">
        <v>5</v>
      </c>
      <c r="H132" s="5" t="s">
        <v>469</v>
      </c>
      <c r="I132" s="7" t="n">
        <v>1715</v>
      </c>
      <c r="J132" s="5" t="n">
        <f aca="false">E132-F132</f>
        <v>0</v>
      </c>
      <c r="K132" s="7" t="n">
        <f aca="false">F132*I132</f>
        <v>8575</v>
      </c>
      <c r="L132" s="7" t="n">
        <f aca="false">E132*I132</f>
        <v>8575</v>
      </c>
    </row>
    <row r="133" customFormat="false" ht="15" hidden="false" customHeight="false" outlineLevel="0" collapsed="false">
      <c r="A133" s="5" t="s">
        <v>370</v>
      </c>
      <c r="B133" s="5" t="n">
        <v>2</v>
      </c>
      <c r="C133" s="5" t="s">
        <v>492</v>
      </c>
      <c r="D133" s="5" t="s">
        <v>493</v>
      </c>
      <c r="E133" s="5" t="n">
        <v>209</v>
      </c>
      <c r="F133" s="5" t="n">
        <v>209</v>
      </c>
      <c r="G133" s="5" t="n">
        <v>209</v>
      </c>
      <c r="H133" s="5" t="s">
        <v>486</v>
      </c>
      <c r="I133" s="7" t="n">
        <v>132.3</v>
      </c>
      <c r="J133" s="5" t="n">
        <f aca="false">E133-F133</f>
        <v>0</v>
      </c>
      <c r="K133" s="7" t="n">
        <f aca="false">F133*I133</f>
        <v>27650.7</v>
      </c>
      <c r="L133" s="7" t="n">
        <f aca="false">E133*I133</f>
        <v>27650.7</v>
      </c>
    </row>
    <row r="134" customFormat="false" ht="15" hidden="false" customHeight="false" outlineLevel="0" collapsed="false">
      <c r="A134" s="5" t="s">
        <v>370</v>
      </c>
      <c r="B134" s="5" t="n">
        <v>3</v>
      </c>
      <c r="C134" s="5" t="s">
        <v>472</v>
      </c>
      <c r="D134" s="5" t="s">
        <v>473</v>
      </c>
      <c r="E134" s="5" t="n">
        <v>3</v>
      </c>
      <c r="F134" s="5" t="n">
        <v>3</v>
      </c>
      <c r="G134" s="5" t="n">
        <v>3</v>
      </c>
      <c r="H134" s="5" t="s">
        <v>469</v>
      </c>
      <c r="I134" s="7" t="n">
        <v>53410</v>
      </c>
      <c r="J134" s="5" t="n">
        <f aca="false">E134-F134</f>
        <v>0</v>
      </c>
      <c r="K134" s="7" t="n">
        <f aca="false">F134*I134</f>
        <v>160230</v>
      </c>
      <c r="L134" s="7" t="n">
        <f aca="false">E134*I134</f>
        <v>160230</v>
      </c>
    </row>
    <row r="135" customFormat="false" ht="15" hidden="false" customHeight="false" outlineLevel="0" collapsed="false">
      <c r="A135" s="5" t="s">
        <v>370</v>
      </c>
      <c r="B135" s="5" t="n">
        <v>4</v>
      </c>
      <c r="C135" s="5" t="s">
        <v>512</v>
      </c>
      <c r="D135" s="5" t="s">
        <v>513</v>
      </c>
      <c r="E135" s="5" t="n">
        <v>1</v>
      </c>
      <c r="F135" s="5" t="n">
        <v>1</v>
      </c>
      <c r="G135" s="5" t="n">
        <v>1</v>
      </c>
      <c r="H135" s="5" t="s">
        <v>469</v>
      </c>
      <c r="I135" s="7" t="n">
        <v>150920</v>
      </c>
      <c r="J135" s="5" t="n">
        <f aca="false">E135-F135</f>
        <v>0</v>
      </c>
      <c r="K135" s="7" t="n">
        <f aca="false">F135*I135</f>
        <v>150920</v>
      </c>
      <c r="L135" s="7" t="n">
        <f aca="false">E135*I135</f>
        <v>150920</v>
      </c>
    </row>
    <row r="136" customFormat="false" ht="15" hidden="false" customHeight="false" outlineLevel="0" collapsed="false">
      <c r="A136" s="5" t="s">
        <v>373</v>
      </c>
      <c r="B136" s="5" t="n">
        <v>1</v>
      </c>
      <c r="C136" s="5" t="s">
        <v>487</v>
      </c>
      <c r="D136" s="5" t="s">
        <v>488</v>
      </c>
      <c r="E136" s="5" t="n">
        <v>9</v>
      </c>
      <c r="F136" s="5" t="n">
        <v>9</v>
      </c>
      <c r="G136" s="5" t="n">
        <v>9</v>
      </c>
      <c r="H136" s="5" t="s">
        <v>489</v>
      </c>
      <c r="I136" s="7" t="n">
        <v>1757.5</v>
      </c>
      <c r="J136" s="5" t="n">
        <f aca="false">E136-F136</f>
        <v>0</v>
      </c>
      <c r="K136" s="7" t="n">
        <f aca="false">F136*I136</f>
        <v>15817.5</v>
      </c>
      <c r="L136" s="7" t="n">
        <f aca="false">E136*I136</f>
        <v>15817.5</v>
      </c>
    </row>
    <row r="137" customFormat="false" ht="15" hidden="false" customHeight="false" outlineLevel="0" collapsed="false">
      <c r="A137" s="5" t="s">
        <v>373</v>
      </c>
      <c r="B137" s="5" t="n">
        <v>2</v>
      </c>
      <c r="C137" s="5" t="s">
        <v>494</v>
      </c>
      <c r="D137" s="5" t="s">
        <v>495</v>
      </c>
      <c r="E137" s="5" t="n">
        <v>20</v>
      </c>
      <c r="F137" s="5" t="n">
        <v>20</v>
      </c>
      <c r="G137" s="5" t="n">
        <v>20</v>
      </c>
      <c r="H137" s="5" t="s">
        <v>466</v>
      </c>
      <c r="I137" s="7" t="n">
        <v>608</v>
      </c>
      <c r="J137" s="5" t="n">
        <f aca="false">E137-F137</f>
        <v>0</v>
      </c>
      <c r="K137" s="7" t="n">
        <f aca="false">F137*I137</f>
        <v>12160</v>
      </c>
      <c r="L137" s="7" t="n">
        <f aca="false">E137*I137</f>
        <v>12160</v>
      </c>
    </row>
    <row r="138" customFormat="false" ht="15" hidden="false" customHeight="false" outlineLevel="0" collapsed="false">
      <c r="A138" s="5" t="s">
        <v>373</v>
      </c>
      <c r="B138" s="5" t="n">
        <v>3</v>
      </c>
      <c r="C138" s="5" t="s">
        <v>498</v>
      </c>
      <c r="D138" s="5" t="s">
        <v>499</v>
      </c>
      <c r="E138" s="5" t="n">
        <v>23</v>
      </c>
      <c r="F138" s="5" t="n">
        <v>23</v>
      </c>
      <c r="G138" s="5" t="n">
        <v>23</v>
      </c>
      <c r="H138" s="5" t="s">
        <v>500</v>
      </c>
      <c r="I138" s="7" t="n">
        <v>1472.5</v>
      </c>
      <c r="J138" s="5" t="n">
        <f aca="false">E138-F138</f>
        <v>0</v>
      </c>
      <c r="K138" s="7" t="n">
        <f aca="false">F138*I138</f>
        <v>33867.5</v>
      </c>
      <c r="L138" s="7" t="n">
        <f aca="false">E138*I138</f>
        <v>33867.5</v>
      </c>
    </row>
    <row r="139" customFormat="false" ht="15" hidden="false" customHeight="false" outlineLevel="0" collapsed="false">
      <c r="A139" s="5" t="s">
        <v>373</v>
      </c>
      <c r="B139" s="5" t="n">
        <v>4</v>
      </c>
      <c r="C139" s="5" t="s">
        <v>496</v>
      </c>
      <c r="D139" s="5" t="s">
        <v>497</v>
      </c>
      <c r="E139" s="5" t="n">
        <v>4</v>
      </c>
      <c r="F139" s="5" t="n">
        <v>4</v>
      </c>
      <c r="G139" s="5" t="n">
        <v>4</v>
      </c>
      <c r="H139" s="5" t="s">
        <v>469</v>
      </c>
      <c r="I139" s="7" t="n">
        <v>18050</v>
      </c>
      <c r="J139" s="5" t="n">
        <f aca="false">E139-F139</f>
        <v>0</v>
      </c>
      <c r="K139" s="7" t="n">
        <f aca="false">F139*I139</f>
        <v>72200</v>
      </c>
      <c r="L139" s="7" t="n">
        <f aca="false">E139*I139</f>
        <v>72200</v>
      </c>
    </row>
    <row r="140" customFormat="false" ht="15" hidden="false" customHeight="false" outlineLevel="0" collapsed="false">
      <c r="A140" s="5" t="s">
        <v>376</v>
      </c>
      <c r="B140" s="5" t="n">
        <v>1</v>
      </c>
      <c r="C140" s="5" t="s">
        <v>464</v>
      </c>
      <c r="D140" s="5" t="s">
        <v>465</v>
      </c>
      <c r="E140" s="5" t="n">
        <v>17</v>
      </c>
      <c r="F140" s="5" t="n">
        <v>17</v>
      </c>
      <c r="G140" s="5" t="n">
        <v>17</v>
      </c>
      <c r="H140" s="5" t="s">
        <v>466</v>
      </c>
      <c r="I140" s="7" t="n">
        <v>58</v>
      </c>
      <c r="J140" s="5" t="n">
        <f aca="false">E140-F140</f>
        <v>0</v>
      </c>
      <c r="K140" s="7" t="n">
        <f aca="false">F140*I140</f>
        <v>986</v>
      </c>
      <c r="L140" s="7" t="n">
        <f aca="false">E140*I140</f>
        <v>986</v>
      </c>
    </row>
    <row r="141" customFormat="false" ht="15" hidden="false" customHeight="false" outlineLevel="0" collapsed="false">
      <c r="A141" s="5" t="s">
        <v>376</v>
      </c>
      <c r="B141" s="5" t="n">
        <v>2</v>
      </c>
      <c r="C141" s="5" t="s">
        <v>482</v>
      </c>
      <c r="D141" s="5" t="s">
        <v>483</v>
      </c>
      <c r="E141" s="5" t="n">
        <v>2</v>
      </c>
      <c r="F141" s="5" t="n">
        <v>2</v>
      </c>
      <c r="G141" s="5" t="n">
        <v>2</v>
      </c>
      <c r="H141" s="5" t="s">
        <v>469</v>
      </c>
      <c r="I141" s="7" t="n">
        <v>1750</v>
      </c>
      <c r="J141" s="5" t="n">
        <f aca="false">E141-F141</f>
        <v>0</v>
      </c>
      <c r="K141" s="7" t="n">
        <f aca="false">F141*I141</f>
        <v>3500</v>
      </c>
      <c r="L141" s="7" t="n">
        <f aca="false">E141*I141</f>
        <v>3500</v>
      </c>
    </row>
    <row r="142" customFormat="false" ht="15" hidden="false" customHeight="false" outlineLevel="0" collapsed="false">
      <c r="A142" s="5" t="s">
        <v>379</v>
      </c>
      <c r="B142" s="5" t="n">
        <v>1</v>
      </c>
      <c r="C142" s="5" t="s">
        <v>480</v>
      </c>
      <c r="D142" s="5" t="s">
        <v>481</v>
      </c>
      <c r="E142" s="5" t="n">
        <v>242</v>
      </c>
      <c r="F142" s="5" t="n">
        <v>242</v>
      </c>
      <c r="G142" s="5" t="n">
        <v>242</v>
      </c>
      <c r="H142" s="5" t="s">
        <v>466</v>
      </c>
      <c r="I142" s="7" t="n">
        <v>223.1</v>
      </c>
      <c r="J142" s="5" t="n">
        <f aca="false">E142-F142</f>
        <v>0</v>
      </c>
      <c r="K142" s="7" t="n">
        <f aca="false">F142*I142</f>
        <v>53990.2</v>
      </c>
      <c r="L142" s="7" t="n">
        <f aca="false">E142*I142</f>
        <v>53990.2</v>
      </c>
    </row>
    <row r="143" customFormat="false" ht="15" hidden="false" customHeight="false" outlineLevel="0" collapsed="false">
      <c r="A143" s="5" t="s">
        <v>379</v>
      </c>
      <c r="B143" s="5" t="n">
        <v>2</v>
      </c>
      <c r="C143" s="5" t="s">
        <v>474</v>
      </c>
      <c r="D143" s="5" t="s">
        <v>475</v>
      </c>
      <c r="E143" s="5" t="n">
        <v>158</v>
      </c>
      <c r="F143" s="5" t="n">
        <v>158</v>
      </c>
      <c r="G143" s="5" t="n">
        <v>158</v>
      </c>
      <c r="H143" s="5" t="s">
        <v>466</v>
      </c>
      <c r="I143" s="7" t="n">
        <v>189.15</v>
      </c>
      <c r="J143" s="5" t="n">
        <f aca="false">E143-F143</f>
        <v>0</v>
      </c>
      <c r="K143" s="7" t="n">
        <f aca="false">F143*I143</f>
        <v>29885.7</v>
      </c>
      <c r="L143" s="7" t="n">
        <f aca="false">E143*I143</f>
        <v>29885.7</v>
      </c>
    </row>
    <row r="144" customFormat="false" ht="15" hidden="false" customHeight="false" outlineLevel="0" collapsed="false">
      <c r="A144" s="5" t="s">
        <v>382</v>
      </c>
      <c r="B144" s="5" t="n">
        <v>1</v>
      </c>
      <c r="C144" s="5" t="s">
        <v>480</v>
      </c>
      <c r="D144" s="5" t="s">
        <v>481</v>
      </c>
      <c r="E144" s="5" t="n">
        <v>9</v>
      </c>
      <c r="F144" s="5" t="n">
        <v>9</v>
      </c>
      <c r="G144" s="5" t="n">
        <v>9</v>
      </c>
      <c r="H144" s="5" t="s">
        <v>466</v>
      </c>
      <c r="I144" s="7" t="n">
        <v>230</v>
      </c>
      <c r="J144" s="5" t="n">
        <f aca="false">E144-F144</f>
        <v>0</v>
      </c>
      <c r="K144" s="7" t="n">
        <f aca="false">F144*I144</f>
        <v>2070</v>
      </c>
      <c r="L144" s="7" t="n">
        <f aca="false">E144*I144</f>
        <v>2070</v>
      </c>
    </row>
    <row r="145" customFormat="false" ht="15" hidden="false" customHeight="false" outlineLevel="0" collapsed="false">
      <c r="A145" s="5" t="s">
        <v>385</v>
      </c>
      <c r="B145" s="5" t="n">
        <v>1</v>
      </c>
      <c r="C145" s="5" t="s">
        <v>503</v>
      </c>
      <c r="D145" s="5" t="s">
        <v>504</v>
      </c>
      <c r="E145" s="5" t="n">
        <v>1</v>
      </c>
      <c r="F145" s="5" t="n">
        <v>1</v>
      </c>
      <c r="G145" s="5" t="n">
        <v>1</v>
      </c>
      <c r="H145" s="5" t="s">
        <v>469</v>
      </c>
      <c r="I145" s="7" t="n">
        <v>123675</v>
      </c>
      <c r="J145" s="5" t="n">
        <f aca="false">E145-F145</f>
        <v>0</v>
      </c>
      <c r="K145" s="7" t="n">
        <f aca="false">F145*I145</f>
        <v>123675</v>
      </c>
      <c r="L145" s="7" t="n">
        <f aca="false">E145*I145</f>
        <v>123675</v>
      </c>
    </row>
    <row r="146" customFormat="false" ht="15" hidden="false" customHeight="false" outlineLevel="0" collapsed="false">
      <c r="A146" s="5" t="s">
        <v>385</v>
      </c>
      <c r="B146" s="5" t="n">
        <v>2</v>
      </c>
      <c r="C146" s="5" t="s">
        <v>498</v>
      </c>
      <c r="D146" s="5" t="s">
        <v>499</v>
      </c>
      <c r="E146" s="5" t="n">
        <v>20</v>
      </c>
      <c r="F146" s="5" t="n">
        <v>20</v>
      </c>
      <c r="G146" s="5" t="n">
        <v>20</v>
      </c>
      <c r="H146" s="5" t="s">
        <v>500</v>
      </c>
      <c r="I146" s="7" t="n">
        <v>1503.5</v>
      </c>
      <c r="J146" s="5" t="n">
        <f aca="false">E146-F146</f>
        <v>0</v>
      </c>
      <c r="K146" s="7" t="n">
        <f aca="false">F146*I146</f>
        <v>30070</v>
      </c>
      <c r="L146" s="7" t="n">
        <f aca="false">E146*I146</f>
        <v>30070</v>
      </c>
    </row>
    <row r="147" customFormat="false" ht="15" hidden="false" customHeight="false" outlineLevel="0" collapsed="false">
      <c r="A147" s="5" t="s">
        <v>388</v>
      </c>
      <c r="B147" s="5" t="n">
        <v>1</v>
      </c>
      <c r="C147" s="5" t="s">
        <v>467</v>
      </c>
      <c r="D147" s="5" t="s">
        <v>468</v>
      </c>
      <c r="E147" s="5" t="n">
        <v>3</v>
      </c>
      <c r="F147" s="5" t="n">
        <v>3</v>
      </c>
      <c r="G147" s="5" t="n">
        <v>3</v>
      </c>
      <c r="H147" s="5" t="s">
        <v>469</v>
      </c>
      <c r="I147" s="7" t="n">
        <v>24000</v>
      </c>
      <c r="J147" s="5" t="n">
        <f aca="false">E147-F147</f>
        <v>0</v>
      </c>
      <c r="K147" s="7" t="n">
        <f aca="false">F147*I147</f>
        <v>72000</v>
      </c>
      <c r="L147" s="7" t="n">
        <f aca="false">E147*I147</f>
        <v>72000</v>
      </c>
    </row>
    <row r="148" customFormat="false" ht="15" hidden="false" customHeight="false" outlineLevel="0" collapsed="false">
      <c r="A148" s="5" t="s">
        <v>388</v>
      </c>
      <c r="B148" s="5" t="n">
        <v>2</v>
      </c>
      <c r="C148" s="5" t="s">
        <v>482</v>
      </c>
      <c r="D148" s="5" t="s">
        <v>483</v>
      </c>
      <c r="E148" s="5" t="n">
        <v>5</v>
      </c>
      <c r="F148" s="5" t="n">
        <v>5</v>
      </c>
      <c r="G148" s="5" t="n">
        <v>5</v>
      </c>
      <c r="H148" s="5" t="s">
        <v>469</v>
      </c>
      <c r="I148" s="7" t="n">
        <v>1750</v>
      </c>
      <c r="J148" s="5" t="n">
        <f aca="false">E148-F148</f>
        <v>0</v>
      </c>
      <c r="K148" s="7" t="n">
        <f aca="false">F148*I148</f>
        <v>8750</v>
      </c>
      <c r="L148" s="7" t="n">
        <f aca="false">E148*I148</f>
        <v>8750</v>
      </c>
    </row>
    <row r="149" customFormat="false" ht="15" hidden="false" customHeight="false" outlineLevel="0" collapsed="false">
      <c r="A149" s="5" t="s">
        <v>388</v>
      </c>
      <c r="B149" s="5" t="n">
        <v>3</v>
      </c>
      <c r="C149" s="5" t="s">
        <v>474</v>
      </c>
      <c r="D149" s="5" t="s">
        <v>475</v>
      </c>
      <c r="E149" s="5" t="n">
        <v>288</v>
      </c>
      <c r="F149" s="5" t="n">
        <v>288</v>
      </c>
      <c r="G149" s="5" t="n">
        <v>288</v>
      </c>
      <c r="H149" s="5" t="s">
        <v>466</v>
      </c>
      <c r="I149" s="7" t="n">
        <v>195</v>
      </c>
      <c r="J149" s="5" t="n">
        <f aca="false">E149-F149</f>
        <v>0</v>
      </c>
      <c r="K149" s="7" t="n">
        <f aca="false">F149*I149</f>
        <v>56160</v>
      </c>
      <c r="L149" s="7" t="n">
        <f aca="false">E149*I149</f>
        <v>56160</v>
      </c>
    </row>
    <row r="150" customFormat="false" ht="15" hidden="false" customHeight="false" outlineLevel="0" collapsed="false">
      <c r="A150" s="5" t="s">
        <v>391</v>
      </c>
      <c r="B150" s="5" t="n">
        <v>1</v>
      </c>
      <c r="C150" s="5" t="s">
        <v>467</v>
      </c>
      <c r="D150" s="5" t="s">
        <v>468</v>
      </c>
      <c r="E150" s="5" t="n">
        <v>2</v>
      </c>
      <c r="F150" s="5" t="n">
        <v>2</v>
      </c>
      <c r="G150" s="5" t="n">
        <v>2</v>
      </c>
      <c r="H150" s="5" t="s">
        <v>469</v>
      </c>
      <c r="I150" s="7" t="n">
        <v>23280</v>
      </c>
      <c r="J150" s="5" t="n">
        <f aca="false">E150-F150</f>
        <v>0</v>
      </c>
      <c r="K150" s="7" t="n">
        <f aca="false">F150*I150</f>
        <v>46560</v>
      </c>
      <c r="L150" s="7" t="n">
        <f aca="false">E150*I150</f>
        <v>46560</v>
      </c>
    </row>
    <row r="151" customFormat="false" ht="15" hidden="false" customHeight="false" outlineLevel="0" collapsed="false">
      <c r="A151" s="5" t="s">
        <v>391</v>
      </c>
      <c r="B151" s="5" t="n">
        <v>2</v>
      </c>
      <c r="C151" s="5" t="s">
        <v>480</v>
      </c>
      <c r="D151" s="5" t="s">
        <v>481</v>
      </c>
      <c r="E151" s="5" t="n">
        <v>228</v>
      </c>
      <c r="F151" s="5" t="n">
        <v>228</v>
      </c>
      <c r="G151" s="5" t="n">
        <v>228</v>
      </c>
      <c r="H151" s="5" t="s">
        <v>466</v>
      </c>
      <c r="I151" s="7" t="n">
        <v>223.1</v>
      </c>
      <c r="J151" s="5" t="n">
        <f aca="false">E151-F151</f>
        <v>0</v>
      </c>
      <c r="K151" s="7" t="n">
        <f aca="false">F151*I151</f>
        <v>50866.8</v>
      </c>
      <c r="L151" s="7" t="n">
        <f aca="false">E151*I151</f>
        <v>50866.8</v>
      </c>
    </row>
    <row r="152" customFormat="false" ht="15" hidden="false" customHeight="false" outlineLevel="0" collapsed="false">
      <c r="A152" s="5" t="s">
        <v>391</v>
      </c>
      <c r="B152" s="5" t="n">
        <v>3</v>
      </c>
      <c r="C152" s="5" t="s">
        <v>508</v>
      </c>
      <c r="D152" s="5" t="s">
        <v>509</v>
      </c>
      <c r="E152" s="5" t="n">
        <v>2</v>
      </c>
      <c r="F152" s="5" t="n">
        <v>2</v>
      </c>
      <c r="G152" s="5" t="n">
        <v>2</v>
      </c>
      <c r="H152" s="5" t="s">
        <v>469</v>
      </c>
      <c r="I152" s="7" t="n">
        <v>40255</v>
      </c>
      <c r="J152" s="5" t="n">
        <f aca="false">E152-F152</f>
        <v>0</v>
      </c>
      <c r="K152" s="7" t="n">
        <f aca="false">F152*I152</f>
        <v>80510</v>
      </c>
      <c r="L152" s="7" t="n">
        <f aca="false">E152*I152</f>
        <v>80510</v>
      </c>
    </row>
    <row r="153" customFormat="false" ht="15" hidden="false" customHeight="false" outlineLevel="0" collapsed="false">
      <c r="A153" s="5" t="s">
        <v>391</v>
      </c>
      <c r="B153" s="5" t="n">
        <v>4</v>
      </c>
      <c r="C153" s="5" t="s">
        <v>512</v>
      </c>
      <c r="D153" s="5" t="s">
        <v>513</v>
      </c>
      <c r="E153" s="5" t="n">
        <v>1</v>
      </c>
      <c r="F153" s="5" t="n">
        <v>1</v>
      </c>
      <c r="G153" s="5" t="n">
        <v>1</v>
      </c>
      <c r="H153" s="5" t="s">
        <v>469</v>
      </c>
      <c r="I153" s="7" t="n">
        <v>149380</v>
      </c>
      <c r="J153" s="5" t="n">
        <f aca="false">E153-F153</f>
        <v>0</v>
      </c>
      <c r="K153" s="7" t="n">
        <f aca="false">F153*I153</f>
        <v>149380</v>
      </c>
      <c r="L153" s="7" t="n">
        <f aca="false">E153*I153</f>
        <v>149380</v>
      </c>
    </row>
    <row r="154" customFormat="false" ht="15" hidden="false" customHeight="false" outlineLevel="0" collapsed="false">
      <c r="A154" s="5" t="s">
        <v>394</v>
      </c>
      <c r="B154" s="5" t="n">
        <v>1</v>
      </c>
      <c r="C154" s="5" t="s">
        <v>474</v>
      </c>
      <c r="D154" s="5" t="s">
        <v>475</v>
      </c>
      <c r="E154" s="5" t="n">
        <v>181</v>
      </c>
      <c r="F154" s="5" t="n">
        <v>181</v>
      </c>
      <c r="G154" s="5" t="n">
        <v>181</v>
      </c>
      <c r="H154" s="5" t="s">
        <v>466</v>
      </c>
      <c r="I154" s="7" t="n">
        <v>189.15</v>
      </c>
      <c r="J154" s="5" t="n">
        <f aca="false">E154-F154</f>
        <v>0</v>
      </c>
      <c r="K154" s="7" t="n">
        <f aca="false">F154*I154</f>
        <v>34236.15</v>
      </c>
      <c r="L154" s="7" t="n">
        <f aca="false">E154*I154</f>
        <v>34236.15</v>
      </c>
    </row>
    <row r="155" customFormat="false" ht="15" hidden="false" customHeight="false" outlineLevel="0" collapsed="false">
      <c r="A155" s="5" t="s">
        <v>394</v>
      </c>
      <c r="B155" s="5" t="n">
        <v>2</v>
      </c>
      <c r="C155" s="5" t="s">
        <v>484</v>
      </c>
      <c r="D155" s="5" t="s">
        <v>485</v>
      </c>
      <c r="E155" s="5" t="n">
        <v>100</v>
      </c>
      <c r="F155" s="5" t="n">
        <v>100</v>
      </c>
      <c r="G155" s="5" t="n">
        <v>100</v>
      </c>
      <c r="H155" s="5" t="s">
        <v>486</v>
      </c>
      <c r="I155" s="7" t="n">
        <v>164.9</v>
      </c>
      <c r="J155" s="5" t="n">
        <f aca="false">E155-F155</f>
        <v>0</v>
      </c>
      <c r="K155" s="7" t="n">
        <f aca="false">F155*I155</f>
        <v>16490</v>
      </c>
      <c r="L155" s="7" t="n">
        <f aca="false">E155*I155</f>
        <v>16490</v>
      </c>
    </row>
    <row r="156" customFormat="false" ht="15" hidden="false" customHeight="false" outlineLevel="0" collapsed="false">
      <c r="A156" s="5" t="s">
        <v>394</v>
      </c>
      <c r="B156" s="5" t="n">
        <v>3</v>
      </c>
      <c r="C156" s="5" t="s">
        <v>467</v>
      </c>
      <c r="D156" s="5" t="s">
        <v>468</v>
      </c>
      <c r="E156" s="5" t="n">
        <v>2</v>
      </c>
      <c r="F156" s="5" t="n">
        <v>2</v>
      </c>
      <c r="G156" s="5" t="n">
        <v>2</v>
      </c>
      <c r="H156" s="5" t="s">
        <v>469</v>
      </c>
      <c r="I156" s="7" t="n">
        <v>23280</v>
      </c>
      <c r="J156" s="5" t="n">
        <f aca="false">E156-F156</f>
        <v>0</v>
      </c>
      <c r="K156" s="7" t="n">
        <f aca="false">F156*I156</f>
        <v>46560</v>
      </c>
      <c r="L156" s="7" t="n">
        <f aca="false">E156*I156</f>
        <v>46560</v>
      </c>
    </row>
    <row r="157" customFormat="false" ht="15" hidden="false" customHeight="false" outlineLevel="0" collapsed="false">
      <c r="A157" s="5" t="s">
        <v>394</v>
      </c>
      <c r="B157" s="5" t="n">
        <v>4</v>
      </c>
      <c r="C157" s="5" t="s">
        <v>514</v>
      </c>
      <c r="D157" s="5" t="s">
        <v>515</v>
      </c>
      <c r="E157" s="5" t="n">
        <v>1</v>
      </c>
      <c r="F157" s="5" t="n">
        <v>1</v>
      </c>
      <c r="G157" s="5" t="n">
        <v>1</v>
      </c>
      <c r="H157" s="5" t="s">
        <v>469</v>
      </c>
      <c r="I157" s="7" t="n">
        <v>809950</v>
      </c>
      <c r="J157" s="5" t="n">
        <f aca="false">E157-F157</f>
        <v>0</v>
      </c>
      <c r="K157" s="7" t="n">
        <f aca="false">F157*I157</f>
        <v>809950</v>
      </c>
      <c r="L157" s="7" t="n">
        <f aca="false">E157*I157</f>
        <v>809950</v>
      </c>
    </row>
    <row r="158" customFormat="false" ht="15" hidden="false" customHeight="false" outlineLevel="0" collapsed="false">
      <c r="A158" s="5" t="s">
        <v>397</v>
      </c>
      <c r="B158" s="5" t="n">
        <v>1</v>
      </c>
      <c r="C158" s="5" t="s">
        <v>480</v>
      </c>
      <c r="D158" s="5" t="s">
        <v>481</v>
      </c>
      <c r="E158" s="5" t="n">
        <v>308</v>
      </c>
      <c r="F158" s="5" t="n">
        <v>308</v>
      </c>
      <c r="G158" s="5" t="n">
        <v>308</v>
      </c>
      <c r="H158" s="5" t="s">
        <v>466</v>
      </c>
      <c r="I158" s="7" t="n">
        <v>230</v>
      </c>
      <c r="J158" s="5" t="n">
        <f aca="false">E158-F158</f>
        <v>0</v>
      </c>
      <c r="K158" s="7" t="n">
        <f aca="false">F158*I158</f>
        <v>70840</v>
      </c>
      <c r="L158" s="7" t="n">
        <f aca="false">E158*I158</f>
        <v>70840</v>
      </c>
    </row>
    <row r="159" customFormat="false" ht="15" hidden="false" customHeight="false" outlineLevel="0" collapsed="false">
      <c r="A159" s="5" t="s">
        <v>397</v>
      </c>
      <c r="B159" s="5" t="n">
        <v>2</v>
      </c>
      <c r="C159" s="5" t="s">
        <v>464</v>
      </c>
      <c r="D159" s="5" t="s">
        <v>465</v>
      </c>
      <c r="E159" s="5" t="n">
        <v>292</v>
      </c>
      <c r="F159" s="5" t="n">
        <v>292</v>
      </c>
      <c r="G159" s="5" t="n">
        <v>292</v>
      </c>
      <c r="H159" s="5" t="s">
        <v>466</v>
      </c>
      <c r="I159" s="7" t="n">
        <v>58</v>
      </c>
      <c r="J159" s="5" t="n">
        <f aca="false">E159-F159</f>
        <v>0</v>
      </c>
      <c r="K159" s="7" t="n">
        <f aca="false">F159*I159</f>
        <v>16936</v>
      </c>
      <c r="L159" s="7" t="n">
        <f aca="false">E159*I159</f>
        <v>16936</v>
      </c>
    </row>
    <row r="160" customFormat="false" ht="15" hidden="false" customHeight="false" outlineLevel="0" collapsed="false">
      <c r="A160" s="5" t="s">
        <v>397</v>
      </c>
      <c r="B160" s="5" t="n">
        <v>3</v>
      </c>
      <c r="C160" s="5" t="s">
        <v>482</v>
      </c>
      <c r="D160" s="5" t="s">
        <v>483</v>
      </c>
      <c r="E160" s="5" t="n">
        <v>7</v>
      </c>
      <c r="F160" s="5" t="n">
        <v>7</v>
      </c>
      <c r="G160" s="5" t="n">
        <v>7</v>
      </c>
      <c r="H160" s="5" t="s">
        <v>469</v>
      </c>
      <c r="I160" s="7" t="n">
        <v>1750</v>
      </c>
      <c r="J160" s="5" t="n">
        <f aca="false">E160-F160</f>
        <v>0</v>
      </c>
      <c r="K160" s="7" t="n">
        <f aca="false">F160*I160</f>
        <v>12250</v>
      </c>
      <c r="L160" s="7" t="n">
        <f aca="false">E160*I160</f>
        <v>12250</v>
      </c>
    </row>
    <row r="161" customFormat="false" ht="15" hidden="false" customHeight="false" outlineLevel="0" collapsed="false">
      <c r="A161" s="5" t="s">
        <v>400</v>
      </c>
      <c r="B161" s="5" t="n">
        <v>1</v>
      </c>
      <c r="C161" s="5" t="s">
        <v>472</v>
      </c>
      <c r="D161" s="5" t="s">
        <v>473</v>
      </c>
      <c r="E161" s="5" t="n">
        <v>3</v>
      </c>
      <c r="F161" s="5" t="n">
        <v>3</v>
      </c>
      <c r="G161" s="5" t="n">
        <v>3</v>
      </c>
      <c r="H161" s="5" t="s">
        <v>469</v>
      </c>
      <c r="I161" s="7" t="n">
        <v>52865</v>
      </c>
      <c r="J161" s="5" t="n">
        <f aca="false">E161-F161</f>
        <v>0</v>
      </c>
      <c r="K161" s="7" t="n">
        <f aca="false">F161*I161</f>
        <v>158595</v>
      </c>
      <c r="L161" s="7" t="n">
        <f aca="false">E161*I161</f>
        <v>158595</v>
      </c>
    </row>
    <row r="162" customFormat="false" ht="15" hidden="false" customHeight="false" outlineLevel="0" collapsed="false">
      <c r="A162" s="5" t="s">
        <v>400</v>
      </c>
      <c r="B162" s="5" t="n">
        <v>2</v>
      </c>
      <c r="C162" s="5" t="s">
        <v>482</v>
      </c>
      <c r="D162" s="5" t="s">
        <v>483</v>
      </c>
      <c r="E162" s="5" t="n">
        <v>3</v>
      </c>
      <c r="F162" s="5" t="n">
        <v>3</v>
      </c>
      <c r="G162" s="5" t="n">
        <v>3</v>
      </c>
      <c r="H162" s="5" t="s">
        <v>469</v>
      </c>
      <c r="I162" s="7" t="n">
        <v>1697.5</v>
      </c>
      <c r="J162" s="5" t="n">
        <f aca="false">E162-F162</f>
        <v>0</v>
      </c>
      <c r="K162" s="7" t="n">
        <f aca="false">F162*I162</f>
        <v>5092.5</v>
      </c>
      <c r="L162" s="7" t="n">
        <f aca="false">E162*I162</f>
        <v>5092.5</v>
      </c>
    </row>
    <row r="163" customFormat="false" ht="15" hidden="false" customHeight="false" outlineLevel="0" collapsed="false">
      <c r="A163" s="5" t="s">
        <v>404</v>
      </c>
      <c r="B163" s="5" t="n">
        <v>1</v>
      </c>
      <c r="C163" s="5" t="s">
        <v>464</v>
      </c>
      <c r="D163" s="5" t="s">
        <v>465</v>
      </c>
      <c r="E163" s="5" t="n">
        <v>15</v>
      </c>
      <c r="F163" s="5" t="n">
        <v>15</v>
      </c>
      <c r="G163" s="5" t="n">
        <v>15</v>
      </c>
      <c r="H163" s="5" t="s">
        <v>466</v>
      </c>
      <c r="I163" s="7" t="n">
        <v>58</v>
      </c>
      <c r="J163" s="5" t="n">
        <f aca="false">E163-F163</f>
        <v>0</v>
      </c>
      <c r="K163" s="7" t="n">
        <f aca="false">F163*I163</f>
        <v>870</v>
      </c>
      <c r="L163" s="7" t="n">
        <f aca="false">E163*I163</f>
        <v>870</v>
      </c>
    </row>
    <row r="164" customFormat="false" ht="15" hidden="false" customHeight="false" outlineLevel="0" collapsed="false">
      <c r="A164" s="5" t="s">
        <v>407</v>
      </c>
      <c r="B164" s="5" t="n">
        <v>1</v>
      </c>
      <c r="C164" s="5" t="s">
        <v>480</v>
      </c>
      <c r="D164" s="5" t="s">
        <v>481</v>
      </c>
      <c r="E164" s="5" t="n">
        <v>10</v>
      </c>
      <c r="F164" s="5" t="n">
        <v>10</v>
      </c>
      <c r="G164" s="5" t="n">
        <v>10</v>
      </c>
      <c r="H164" s="5" t="s">
        <v>466</v>
      </c>
      <c r="I164" s="7" t="n">
        <v>230</v>
      </c>
      <c r="J164" s="5" t="n">
        <f aca="false">E164-F164</f>
        <v>0</v>
      </c>
      <c r="K164" s="7" t="n">
        <f aca="false">F164*I164</f>
        <v>2300</v>
      </c>
      <c r="L164" s="7" t="n">
        <f aca="false">E164*I164</f>
        <v>2300</v>
      </c>
    </row>
    <row r="165" customFormat="false" ht="15" hidden="false" customHeight="false" outlineLevel="0" collapsed="false">
      <c r="A165" s="5" t="s">
        <v>410</v>
      </c>
      <c r="B165" s="5" t="n">
        <v>1</v>
      </c>
      <c r="C165" s="5" t="s">
        <v>496</v>
      </c>
      <c r="D165" s="5" t="s">
        <v>497</v>
      </c>
      <c r="E165" s="5" t="n">
        <v>2</v>
      </c>
      <c r="F165" s="5" t="n">
        <v>2</v>
      </c>
      <c r="G165" s="5" t="n">
        <v>2</v>
      </c>
      <c r="H165" s="5" t="s">
        <v>469</v>
      </c>
      <c r="I165" s="7" t="n">
        <v>18430</v>
      </c>
      <c r="J165" s="5" t="n">
        <f aca="false">E165-F165</f>
        <v>0</v>
      </c>
      <c r="K165" s="7" t="n">
        <f aca="false">F165*I165</f>
        <v>36860</v>
      </c>
      <c r="L165" s="7" t="n">
        <f aca="false">E165*I165</f>
        <v>36860</v>
      </c>
    </row>
    <row r="166" customFormat="false" ht="15" hidden="false" customHeight="false" outlineLevel="0" collapsed="false">
      <c r="A166" s="5" t="s">
        <v>410</v>
      </c>
      <c r="B166" s="5" t="n">
        <v>2</v>
      </c>
      <c r="C166" s="5" t="s">
        <v>501</v>
      </c>
      <c r="D166" s="5" t="s">
        <v>502</v>
      </c>
      <c r="E166" s="5" t="n">
        <v>58</v>
      </c>
      <c r="F166" s="5" t="n">
        <v>58</v>
      </c>
      <c r="G166" s="5" t="n">
        <v>58</v>
      </c>
      <c r="H166" s="5" t="s">
        <v>466</v>
      </c>
      <c r="I166" s="7" t="n">
        <v>436.5</v>
      </c>
      <c r="J166" s="5" t="n">
        <f aca="false">E166-F166</f>
        <v>0</v>
      </c>
      <c r="K166" s="7" t="n">
        <f aca="false">F166*I166</f>
        <v>25317</v>
      </c>
      <c r="L166" s="7" t="n">
        <f aca="false">E166*I166</f>
        <v>25317</v>
      </c>
    </row>
    <row r="167" customFormat="false" ht="15" hidden="false" customHeight="false" outlineLevel="0" collapsed="false">
      <c r="A167" s="5" t="s">
        <v>410</v>
      </c>
      <c r="B167" s="5" t="n">
        <v>3</v>
      </c>
      <c r="C167" s="5" t="s">
        <v>490</v>
      </c>
      <c r="D167" s="5" t="s">
        <v>491</v>
      </c>
      <c r="E167" s="5" t="n">
        <v>119</v>
      </c>
      <c r="F167" s="5" t="n">
        <v>119</v>
      </c>
      <c r="G167" s="5" t="n">
        <v>119</v>
      </c>
      <c r="H167" s="5" t="s">
        <v>466</v>
      </c>
      <c r="I167" s="7" t="n">
        <v>281.3</v>
      </c>
      <c r="J167" s="5" t="n">
        <f aca="false">E167-F167</f>
        <v>0</v>
      </c>
      <c r="K167" s="7" t="n">
        <f aca="false">F167*I167</f>
        <v>33474.7</v>
      </c>
      <c r="L167" s="7" t="n">
        <f aca="false">E167*I167</f>
        <v>33474.7</v>
      </c>
    </row>
    <row r="168" customFormat="false" ht="15" hidden="false" customHeight="false" outlineLevel="0" collapsed="false">
      <c r="A168" s="5" t="s">
        <v>410</v>
      </c>
      <c r="B168" s="5" t="n">
        <v>4</v>
      </c>
      <c r="C168" s="5" t="s">
        <v>484</v>
      </c>
      <c r="D168" s="5" t="s">
        <v>485</v>
      </c>
      <c r="E168" s="5" t="n">
        <v>80</v>
      </c>
      <c r="F168" s="5" t="n">
        <v>80</v>
      </c>
      <c r="G168" s="5" t="n">
        <v>80</v>
      </c>
      <c r="H168" s="5" t="s">
        <v>486</v>
      </c>
      <c r="I168" s="7" t="n">
        <v>164.9</v>
      </c>
      <c r="J168" s="5" t="n">
        <f aca="false">E168-F168</f>
        <v>0</v>
      </c>
      <c r="K168" s="7" t="n">
        <f aca="false">F168*I168</f>
        <v>13192</v>
      </c>
      <c r="L168" s="7" t="n">
        <f aca="false">E168*I168</f>
        <v>13192</v>
      </c>
    </row>
    <row r="169" customFormat="false" ht="15" hidden="false" customHeight="false" outlineLevel="0" collapsed="false">
      <c r="A169" s="5" t="s">
        <v>413</v>
      </c>
      <c r="B169" s="5" t="n">
        <v>1</v>
      </c>
      <c r="C169" s="5" t="s">
        <v>480</v>
      </c>
      <c r="D169" s="5" t="s">
        <v>481</v>
      </c>
      <c r="E169" s="5" t="n">
        <v>9</v>
      </c>
      <c r="F169" s="5" t="n">
        <v>9</v>
      </c>
      <c r="G169" s="5" t="n">
        <v>9</v>
      </c>
      <c r="H169" s="5" t="s">
        <v>466</v>
      </c>
      <c r="I169" s="7" t="n">
        <v>230</v>
      </c>
      <c r="J169" s="5" t="n">
        <f aca="false">E169-F169</f>
        <v>0</v>
      </c>
      <c r="K169" s="7" t="n">
        <f aca="false">F169*I169</f>
        <v>2070</v>
      </c>
      <c r="L169" s="7" t="n">
        <f aca="false">E169*I169</f>
        <v>2070</v>
      </c>
    </row>
    <row r="170" customFormat="false" ht="15" hidden="false" customHeight="false" outlineLevel="0" collapsed="false">
      <c r="A170" s="5" t="s">
        <v>413</v>
      </c>
      <c r="B170" s="5" t="n">
        <v>2</v>
      </c>
      <c r="C170" s="5" t="s">
        <v>474</v>
      </c>
      <c r="D170" s="5" t="s">
        <v>475</v>
      </c>
      <c r="E170" s="5" t="n">
        <v>11</v>
      </c>
      <c r="F170" s="5" t="n">
        <v>11</v>
      </c>
      <c r="G170" s="5" t="n">
        <v>11</v>
      </c>
      <c r="H170" s="5" t="s">
        <v>466</v>
      </c>
      <c r="I170" s="7" t="n">
        <v>195</v>
      </c>
      <c r="J170" s="5" t="n">
        <f aca="false">E170-F170</f>
        <v>0</v>
      </c>
      <c r="K170" s="7" t="n">
        <f aca="false">F170*I170</f>
        <v>2145</v>
      </c>
      <c r="L170" s="7" t="n">
        <f aca="false">E170*I170</f>
        <v>2145</v>
      </c>
    </row>
    <row r="171" customFormat="false" ht="15" hidden="false" customHeight="false" outlineLevel="0" collapsed="false">
      <c r="A171" s="5" t="s">
        <v>416</v>
      </c>
      <c r="B171" s="5" t="n">
        <v>1</v>
      </c>
      <c r="C171" s="5" t="s">
        <v>492</v>
      </c>
      <c r="D171" s="5" t="s">
        <v>493</v>
      </c>
      <c r="E171" s="5" t="n">
        <v>14</v>
      </c>
      <c r="F171" s="5" t="n">
        <v>14</v>
      </c>
      <c r="G171" s="5" t="n">
        <v>14</v>
      </c>
      <c r="H171" s="5" t="s">
        <v>486</v>
      </c>
      <c r="I171" s="7" t="n">
        <v>135</v>
      </c>
      <c r="J171" s="5" t="n">
        <f aca="false">E171-F171</f>
        <v>0</v>
      </c>
      <c r="K171" s="7" t="n">
        <f aca="false">F171*I171</f>
        <v>1890</v>
      </c>
      <c r="L171" s="7" t="n">
        <f aca="false">E171*I171</f>
        <v>1890</v>
      </c>
    </row>
    <row r="172" customFormat="false" ht="15" hidden="false" customHeight="false" outlineLevel="0" collapsed="false">
      <c r="A172" s="5" t="s">
        <v>419</v>
      </c>
      <c r="B172" s="5" t="n">
        <v>1</v>
      </c>
      <c r="C172" s="5" t="s">
        <v>474</v>
      </c>
      <c r="D172" s="5" t="s">
        <v>475</v>
      </c>
      <c r="E172" s="5" t="n">
        <v>129</v>
      </c>
      <c r="F172" s="5" t="n">
        <v>77</v>
      </c>
      <c r="G172" s="5" t="n">
        <v>77</v>
      </c>
      <c r="H172" s="5" t="s">
        <v>466</v>
      </c>
      <c r="I172" s="7" t="n">
        <v>195</v>
      </c>
      <c r="J172" s="5" t="n">
        <f aca="false">E172-F172</f>
        <v>52</v>
      </c>
      <c r="K172" s="7" t="n">
        <f aca="false">F172*I172</f>
        <v>15015</v>
      </c>
      <c r="L172" s="7" t="n">
        <f aca="false">E172*I172</f>
        <v>25155</v>
      </c>
    </row>
    <row r="173" customFormat="false" ht="15" hidden="false" customHeight="false" outlineLevel="0" collapsed="false">
      <c r="A173" s="5" t="s">
        <v>419</v>
      </c>
      <c r="B173" s="5" t="n">
        <v>2</v>
      </c>
      <c r="C173" s="5" t="s">
        <v>467</v>
      </c>
      <c r="D173" s="5" t="s">
        <v>468</v>
      </c>
      <c r="E173" s="5" t="n">
        <v>4</v>
      </c>
      <c r="F173" s="5" t="n">
        <v>2</v>
      </c>
      <c r="G173" s="5" t="n">
        <v>2</v>
      </c>
      <c r="H173" s="5" t="s">
        <v>469</v>
      </c>
      <c r="I173" s="7" t="n">
        <v>24000</v>
      </c>
      <c r="J173" s="5" t="n">
        <f aca="false">E173-F173</f>
        <v>2</v>
      </c>
      <c r="K173" s="7" t="n">
        <f aca="false">F173*I173</f>
        <v>48000</v>
      </c>
      <c r="L173" s="7" t="n">
        <f aca="false">E173*I173</f>
        <v>96000</v>
      </c>
    </row>
    <row r="174" customFormat="false" ht="15" hidden="false" customHeight="false" outlineLevel="0" collapsed="false">
      <c r="A174" s="5" t="s">
        <v>423</v>
      </c>
      <c r="B174" s="5" t="n">
        <v>1</v>
      </c>
      <c r="C174" s="5" t="s">
        <v>474</v>
      </c>
      <c r="D174" s="5" t="s">
        <v>475</v>
      </c>
      <c r="E174" s="5" t="n">
        <v>142</v>
      </c>
      <c r="F174" s="5" t="n">
        <v>85</v>
      </c>
      <c r="G174" s="5" t="n">
        <v>85</v>
      </c>
      <c r="H174" s="5" t="s">
        <v>466</v>
      </c>
      <c r="I174" s="7" t="n">
        <v>189.15</v>
      </c>
      <c r="J174" s="5" t="n">
        <f aca="false">E174-F174</f>
        <v>57</v>
      </c>
      <c r="K174" s="7" t="n">
        <f aca="false">F174*I174</f>
        <v>16077.75</v>
      </c>
      <c r="L174" s="7" t="n">
        <f aca="false">E174*I174</f>
        <v>26859.3</v>
      </c>
    </row>
    <row r="175" customFormat="false" ht="15" hidden="false" customHeight="false" outlineLevel="0" collapsed="false">
      <c r="A175" s="5" t="s">
        <v>423</v>
      </c>
      <c r="B175" s="5" t="n">
        <v>2</v>
      </c>
      <c r="C175" s="5" t="s">
        <v>501</v>
      </c>
      <c r="D175" s="5" t="s">
        <v>502</v>
      </c>
      <c r="E175" s="5" t="n">
        <v>104</v>
      </c>
      <c r="F175" s="5" t="n">
        <v>62</v>
      </c>
      <c r="G175" s="5" t="n">
        <v>62</v>
      </c>
      <c r="H175" s="5" t="s">
        <v>466</v>
      </c>
      <c r="I175" s="7" t="n">
        <v>436.5</v>
      </c>
      <c r="J175" s="5" t="n">
        <f aca="false">E175-F175</f>
        <v>42</v>
      </c>
      <c r="K175" s="7" t="n">
        <f aca="false">F175*I175</f>
        <v>27063</v>
      </c>
      <c r="L175" s="7" t="n">
        <f aca="false">E175*I175</f>
        <v>45396</v>
      </c>
    </row>
    <row r="176" customFormat="false" ht="15" hidden="false" customHeight="false" outlineLevel="0" collapsed="false">
      <c r="A176" s="5" t="s">
        <v>423</v>
      </c>
      <c r="B176" s="5" t="n">
        <v>3</v>
      </c>
      <c r="C176" s="5" t="s">
        <v>487</v>
      </c>
      <c r="D176" s="5" t="s">
        <v>488</v>
      </c>
      <c r="E176" s="5" t="n">
        <v>10</v>
      </c>
      <c r="F176" s="5" t="n">
        <v>6</v>
      </c>
      <c r="G176" s="5" t="n">
        <v>6</v>
      </c>
      <c r="H176" s="5" t="s">
        <v>489</v>
      </c>
      <c r="I176" s="7" t="n">
        <v>1794.5</v>
      </c>
      <c r="J176" s="5" t="n">
        <f aca="false">E176-F176</f>
        <v>4</v>
      </c>
      <c r="K176" s="7" t="n">
        <f aca="false">F176*I176</f>
        <v>10767</v>
      </c>
      <c r="L176" s="7" t="n">
        <f aca="false">E176*I176</f>
        <v>17945</v>
      </c>
    </row>
    <row r="177" customFormat="false" ht="15" hidden="false" customHeight="false" outlineLevel="0" collapsed="false">
      <c r="A177" s="5" t="s">
        <v>423</v>
      </c>
      <c r="B177" s="5" t="n">
        <v>4</v>
      </c>
      <c r="C177" s="5" t="s">
        <v>467</v>
      </c>
      <c r="D177" s="5" t="s">
        <v>468</v>
      </c>
      <c r="E177" s="5" t="n">
        <v>4</v>
      </c>
      <c r="F177" s="5" t="n">
        <v>2</v>
      </c>
      <c r="G177" s="5" t="n">
        <v>2</v>
      </c>
      <c r="H177" s="5" t="s">
        <v>469</v>
      </c>
      <c r="I177" s="7" t="n">
        <v>23280</v>
      </c>
      <c r="J177" s="5" t="n">
        <f aca="false">E177-F177</f>
        <v>2</v>
      </c>
      <c r="K177" s="7" t="n">
        <f aca="false">F177*I177</f>
        <v>46560</v>
      </c>
      <c r="L177" s="7" t="n">
        <f aca="false">E177*I177</f>
        <v>93120</v>
      </c>
    </row>
    <row r="178" customFormat="false" ht="15" hidden="false" customHeight="false" outlineLevel="0" collapsed="false">
      <c r="A178" s="5" t="s">
        <v>426</v>
      </c>
      <c r="B178" s="5" t="n">
        <v>1</v>
      </c>
      <c r="C178" s="5" t="s">
        <v>472</v>
      </c>
      <c r="D178" s="5" t="s">
        <v>473</v>
      </c>
      <c r="E178" s="5" t="n">
        <v>2</v>
      </c>
      <c r="F178" s="5" t="n">
        <v>2</v>
      </c>
      <c r="G178" s="5" t="n">
        <v>2</v>
      </c>
      <c r="H178" s="5" t="s">
        <v>469</v>
      </c>
      <c r="I178" s="7" t="n">
        <v>53410</v>
      </c>
      <c r="J178" s="5" t="n">
        <f aca="false">E178-F178</f>
        <v>0</v>
      </c>
      <c r="K178" s="7" t="n">
        <f aca="false">F178*I178</f>
        <v>106820</v>
      </c>
      <c r="L178" s="7" t="n">
        <f aca="false">E178*I178</f>
        <v>106820</v>
      </c>
    </row>
    <row r="179" customFormat="false" ht="15" hidden="false" customHeight="false" outlineLevel="0" collapsed="false">
      <c r="A179" s="5" t="s">
        <v>426</v>
      </c>
      <c r="B179" s="5" t="n">
        <v>2</v>
      </c>
      <c r="C179" s="5" t="s">
        <v>484</v>
      </c>
      <c r="D179" s="5" t="s">
        <v>485</v>
      </c>
      <c r="E179" s="5" t="n">
        <v>65</v>
      </c>
      <c r="F179" s="5" t="n">
        <v>65</v>
      </c>
      <c r="G179" s="5" t="n">
        <v>65</v>
      </c>
      <c r="H179" s="5" t="s">
        <v>486</v>
      </c>
      <c r="I179" s="7" t="n">
        <v>166.6</v>
      </c>
      <c r="J179" s="5" t="n">
        <f aca="false">E179-F179</f>
        <v>0</v>
      </c>
      <c r="K179" s="7" t="n">
        <f aca="false">F179*I179</f>
        <v>10829</v>
      </c>
      <c r="L179" s="7" t="n">
        <f aca="false">E179*I179</f>
        <v>10829</v>
      </c>
    </row>
    <row r="180" customFormat="false" ht="15" hidden="false" customHeight="false" outlineLevel="0" collapsed="false">
      <c r="A180" s="5" t="s">
        <v>426</v>
      </c>
      <c r="B180" s="5" t="n">
        <v>3</v>
      </c>
      <c r="C180" s="5" t="s">
        <v>474</v>
      </c>
      <c r="D180" s="5" t="s">
        <v>475</v>
      </c>
      <c r="E180" s="5" t="n">
        <v>167</v>
      </c>
      <c r="F180" s="5" t="n">
        <v>167</v>
      </c>
      <c r="G180" s="5" t="n">
        <v>167</v>
      </c>
      <c r="H180" s="5" t="s">
        <v>466</v>
      </c>
      <c r="I180" s="7" t="n">
        <v>191.1</v>
      </c>
      <c r="J180" s="5" t="n">
        <f aca="false">E180-F180</f>
        <v>0</v>
      </c>
      <c r="K180" s="7" t="n">
        <f aca="false">F180*I180</f>
        <v>31913.7</v>
      </c>
      <c r="L180" s="7" t="n">
        <f aca="false">E180*I180</f>
        <v>31913.7</v>
      </c>
    </row>
    <row r="181" customFormat="false" ht="15" hidden="false" customHeight="false" outlineLevel="0" collapsed="false">
      <c r="A181" s="5" t="s">
        <v>426</v>
      </c>
      <c r="B181" s="5" t="n">
        <v>4</v>
      </c>
      <c r="C181" s="5" t="s">
        <v>490</v>
      </c>
      <c r="D181" s="5" t="s">
        <v>491</v>
      </c>
      <c r="E181" s="5" t="n">
        <v>194</v>
      </c>
      <c r="F181" s="5" t="n">
        <v>194</v>
      </c>
      <c r="G181" s="5" t="n">
        <v>194</v>
      </c>
      <c r="H181" s="5" t="s">
        <v>466</v>
      </c>
      <c r="I181" s="7" t="n">
        <v>284.2</v>
      </c>
      <c r="J181" s="5" t="n">
        <f aca="false">E181-F181</f>
        <v>0</v>
      </c>
      <c r="K181" s="7" t="n">
        <f aca="false">F181*I181</f>
        <v>55134.8</v>
      </c>
      <c r="L181" s="7" t="n">
        <f aca="false">E181*I181</f>
        <v>55134.8</v>
      </c>
    </row>
    <row r="182" customFormat="false" ht="15" hidden="false" customHeight="false" outlineLevel="0" collapsed="false">
      <c r="A182" s="5" t="s">
        <v>429</v>
      </c>
      <c r="B182" s="5" t="n">
        <v>1</v>
      </c>
      <c r="C182" s="5" t="s">
        <v>505</v>
      </c>
      <c r="D182" s="5" t="s">
        <v>506</v>
      </c>
      <c r="E182" s="5" t="n">
        <v>6</v>
      </c>
      <c r="F182" s="5" t="n">
        <v>6</v>
      </c>
      <c r="G182" s="5" t="n">
        <v>6</v>
      </c>
      <c r="H182" s="5" t="s">
        <v>507</v>
      </c>
      <c r="I182" s="7" t="n">
        <v>1050</v>
      </c>
      <c r="J182" s="5" t="n">
        <f aca="false">E182-F182</f>
        <v>0</v>
      </c>
      <c r="K182" s="7" t="n">
        <f aca="false">F182*I182</f>
        <v>6300</v>
      </c>
      <c r="L182" s="7" t="n">
        <f aca="false">E182*I182</f>
        <v>6300</v>
      </c>
    </row>
    <row r="183" customFormat="false" ht="15" hidden="false" customHeight="false" outlineLevel="0" collapsed="false">
      <c r="A183" s="5" t="s">
        <v>429</v>
      </c>
      <c r="B183" s="5" t="n">
        <v>2</v>
      </c>
      <c r="C183" s="5" t="s">
        <v>501</v>
      </c>
      <c r="D183" s="5" t="s">
        <v>502</v>
      </c>
      <c r="E183" s="5" t="n">
        <v>54</v>
      </c>
      <c r="F183" s="5" t="n">
        <v>54</v>
      </c>
      <c r="G183" s="5" t="n">
        <v>54</v>
      </c>
      <c r="H183" s="5" t="s">
        <v>466</v>
      </c>
      <c r="I183" s="7" t="n">
        <v>450</v>
      </c>
      <c r="J183" s="5" t="n">
        <f aca="false">E183-F183</f>
        <v>0</v>
      </c>
      <c r="K183" s="7" t="n">
        <f aca="false">F183*I183</f>
        <v>24300</v>
      </c>
      <c r="L183" s="7" t="n">
        <f aca="false">E183*I183</f>
        <v>24300</v>
      </c>
    </row>
    <row r="184" customFormat="false" ht="15" hidden="false" customHeight="false" outlineLevel="0" collapsed="false">
      <c r="A184" s="5" t="s">
        <v>429</v>
      </c>
      <c r="B184" s="5" t="n">
        <v>3</v>
      </c>
      <c r="C184" s="5" t="s">
        <v>480</v>
      </c>
      <c r="D184" s="5" t="s">
        <v>481</v>
      </c>
      <c r="E184" s="5" t="n">
        <v>298</v>
      </c>
      <c r="F184" s="5" t="n">
        <v>298</v>
      </c>
      <c r="G184" s="5" t="n">
        <v>298</v>
      </c>
      <c r="H184" s="5" t="s">
        <v>466</v>
      </c>
      <c r="I184" s="7" t="n">
        <v>230</v>
      </c>
      <c r="J184" s="5" t="n">
        <f aca="false">E184-F184</f>
        <v>0</v>
      </c>
      <c r="K184" s="7" t="n">
        <f aca="false">F184*I184</f>
        <v>68540</v>
      </c>
      <c r="L184" s="7" t="n">
        <f aca="false">E184*I184</f>
        <v>68540</v>
      </c>
    </row>
    <row r="185" customFormat="false" ht="15" hidden="false" customHeight="false" outlineLevel="0" collapsed="false">
      <c r="A185" s="5" t="s">
        <v>429</v>
      </c>
      <c r="B185" s="5" t="n">
        <v>4</v>
      </c>
      <c r="C185" s="5" t="s">
        <v>494</v>
      </c>
      <c r="D185" s="5" t="s">
        <v>495</v>
      </c>
      <c r="E185" s="5" t="n">
        <v>17</v>
      </c>
      <c r="F185" s="5" t="n">
        <v>17</v>
      </c>
      <c r="G185" s="5" t="n">
        <v>17</v>
      </c>
      <c r="H185" s="5" t="s">
        <v>466</v>
      </c>
      <c r="I185" s="7" t="n">
        <v>640</v>
      </c>
      <c r="J185" s="5" t="n">
        <f aca="false">E185-F185</f>
        <v>0</v>
      </c>
      <c r="K185" s="7" t="n">
        <f aca="false">F185*I185</f>
        <v>10880</v>
      </c>
      <c r="L185" s="7" t="n">
        <f aca="false">E185*I185</f>
        <v>10880</v>
      </c>
    </row>
    <row r="186" customFormat="false" ht="15" hidden="false" customHeight="false" outlineLevel="0" collapsed="false">
      <c r="A186" s="5" t="s">
        <v>432</v>
      </c>
      <c r="B186" s="5" t="n">
        <v>1</v>
      </c>
      <c r="C186" s="5" t="s">
        <v>492</v>
      </c>
      <c r="D186" s="5" t="s">
        <v>493</v>
      </c>
      <c r="E186" s="5" t="n">
        <v>221</v>
      </c>
      <c r="F186" s="5" t="n">
        <v>221</v>
      </c>
      <c r="G186" s="5" t="n">
        <v>221</v>
      </c>
      <c r="H186" s="5" t="s">
        <v>486</v>
      </c>
      <c r="I186" s="7" t="n">
        <v>135</v>
      </c>
      <c r="J186" s="5" t="n">
        <f aca="false">E186-F186</f>
        <v>0</v>
      </c>
      <c r="K186" s="7" t="n">
        <f aca="false">F186*I186</f>
        <v>29835</v>
      </c>
      <c r="L186" s="7" t="n">
        <f aca="false">E186*I186</f>
        <v>29835</v>
      </c>
    </row>
    <row r="187" customFormat="false" ht="15" hidden="false" customHeight="false" outlineLevel="0" collapsed="false">
      <c r="A187" s="5" t="s">
        <v>432</v>
      </c>
      <c r="B187" s="5" t="n">
        <v>2</v>
      </c>
      <c r="C187" s="5" t="s">
        <v>464</v>
      </c>
      <c r="D187" s="5" t="s">
        <v>465</v>
      </c>
      <c r="E187" s="5" t="n">
        <v>272</v>
      </c>
      <c r="F187" s="5" t="n">
        <v>272</v>
      </c>
      <c r="G187" s="5" t="n">
        <v>272</v>
      </c>
      <c r="H187" s="5" t="s">
        <v>466</v>
      </c>
      <c r="I187" s="7" t="n">
        <v>58</v>
      </c>
      <c r="J187" s="5" t="n">
        <f aca="false">E187-F187</f>
        <v>0</v>
      </c>
      <c r="K187" s="7" t="n">
        <f aca="false">F187*I187</f>
        <v>15776</v>
      </c>
      <c r="L187" s="7" t="n">
        <f aca="false">E187*I187</f>
        <v>15776</v>
      </c>
    </row>
    <row r="188" customFormat="false" ht="15" hidden="false" customHeight="false" outlineLevel="0" collapsed="false">
      <c r="A188" s="5" t="s">
        <v>432</v>
      </c>
      <c r="B188" s="5" t="n">
        <v>3</v>
      </c>
      <c r="C188" s="5" t="s">
        <v>482</v>
      </c>
      <c r="D188" s="5" t="s">
        <v>483</v>
      </c>
      <c r="E188" s="5" t="n">
        <v>6</v>
      </c>
      <c r="F188" s="5" t="n">
        <v>6</v>
      </c>
      <c r="G188" s="5" t="n">
        <v>6</v>
      </c>
      <c r="H188" s="5" t="s">
        <v>469</v>
      </c>
      <c r="I188" s="7" t="n">
        <v>1750</v>
      </c>
      <c r="J188" s="5" t="n">
        <f aca="false">E188-F188</f>
        <v>0</v>
      </c>
      <c r="K188" s="7" t="n">
        <f aca="false">F188*I188</f>
        <v>10500</v>
      </c>
      <c r="L188" s="7" t="n">
        <f aca="false">E188*I188</f>
        <v>10500</v>
      </c>
    </row>
    <row r="189" customFormat="false" ht="15" hidden="false" customHeight="false" outlineLevel="0" collapsed="false">
      <c r="A189" s="5" t="s">
        <v>435</v>
      </c>
      <c r="B189" s="5" t="n">
        <v>1</v>
      </c>
      <c r="C189" s="5" t="s">
        <v>476</v>
      </c>
      <c r="D189" s="5" t="s">
        <v>477</v>
      </c>
      <c r="E189" s="5" t="n">
        <v>2</v>
      </c>
      <c r="F189" s="5" t="n">
        <v>2</v>
      </c>
      <c r="G189" s="5" t="n">
        <v>0</v>
      </c>
      <c r="H189" s="5" t="s">
        <v>469</v>
      </c>
      <c r="I189" s="7" t="n">
        <v>45125</v>
      </c>
      <c r="J189" s="5" t="n">
        <f aca="false">E189-F189</f>
        <v>0</v>
      </c>
      <c r="K189" s="7" t="n">
        <f aca="false">F189*I189</f>
        <v>90250</v>
      </c>
      <c r="L189" s="7" t="n">
        <f aca="false">E189*I189</f>
        <v>90250</v>
      </c>
    </row>
    <row r="190" customFormat="false" ht="15" hidden="false" customHeight="false" outlineLevel="0" collapsed="false">
      <c r="A190" s="5" t="s">
        <v>435</v>
      </c>
      <c r="B190" s="5" t="n">
        <v>2</v>
      </c>
      <c r="C190" s="5" t="s">
        <v>478</v>
      </c>
      <c r="D190" s="5" t="s">
        <v>479</v>
      </c>
      <c r="E190" s="5" t="n">
        <v>1</v>
      </c>
      <c r="F190" s="5" t="n">
        <v>1</v>
      </c>
      <c r="G190" s="5" t="n">
        <v>0</v>
      </c>
      <c r="H190" s="5" t="s">
        <v>469</v>
      </c>
      <c r="I190" s="7" t="n">
        <v>3990</v>
      </c>
      <c r="J190" s="5" t="n">
        <f aca="false">E190-F190</f>
        <v>0</v>
      </c>
      <c r="K190" s="7" t="n">
        <f aca="false">F190*I190</f>
        <v>3990</v>
      </c>
      <c r="L190" s="7" t="n">
        <f aca="false">E190*I190</f>
        <v>3990</v>
      </c>
    </row>
    <row r="191" customFormat="false" ht="15" hidden="false" customHeight="false" outlineLevel="0" collapsed="false">
      <c r="A191" s="5" t="s">
        <v>438</v>
      </c>
      <c r="B191" s="5" t="n">
        <v>1</v>
      </c>
      <c r="C191" s="5" t="s">
        <v>482</v>
      </c>
      <c r="D191" s="5" t="s">
        <v>483</v>
      </c>
      <c r="E191" s="5" t="n">
        <v>1</v>
      </c>
      <c r="F191" s="5" t="n">
        <v>1</v>
      </c>
      <c r="G191" s="5" t="n">
        <v>1</v>
      </c>
      <c r="H191" s="5" t="s">
        <v>469</v>
      </c>
      <c r="I191" s="7" t="n">
        <v>1750</v>
      </c>
      <c r="J191" s="5" t="n">
        <f aca="false">E191-F191</f>
        <v>0</v>
      </c>
      <c r="K191" s="7" t="n">
        <f aca="false">F191*I191</f>
        <v>1750</v>
      </c>
      <c r="L191" s="7" t="n">
        <f aca="false">E191*I191</f>
        <v>1750</v>
      </c>
    </row>
    <row r="192" customFormat="false" ht="15" hidden="false" customHeight="false" outlineLevel="0" collapsed="false">
      <c r="A192" s="5" t="s">
        <v>438</v>
      </c>
      <c r="B192" s="5" t="n">
        <v>2</v>
      </c>
      <c r="C192" s="5" t="s">
        <v>480</v>
      </c>
      <c r="D192" s="5" t="s">
        <v>481</v>
      </c>
      <c r="E192" s="5" t="n">
        <v>6</v>
      </c>
      <c r="F192" s="5" t="n">
        <v>6</v>
      </c>
      <c r="G192" s="5" t="n">
        <v>6</v>
      </c>
      <c r="H192" s="5" t="s">
        <v>466</v>
      </c>
      <c r="I192" s="7" t="n">
        <v>230</v>
      </c>
      <c r="J192" s="5" t="n">
        <f aca="false">E192-F192</f>
        <v>0</v>
      </c>
      <c r="K192" s="7" t="n">
        <f aca="false">F192*I192</f>
        <v>1380</v>
      </c>
      <c r="L192" s="7" t="n">
        <f aca="false">E192*I192</f>
        <v>1380</v>
      </c>
    </row>
    <row r="193" customFormat="false" ht="15" hidden="false" customHeight="false" outlineLevel="0" collapsed="false">
      <c r="A193" s="5" t="s">
        <v>441</v>
      </c>
      <c r="B193" s="5" t="n">
        <v>1</v>
      </c>
      <c r="C193" s="5" t="s">
        <v>508</v>
      </c>
      <c r="D193" s="5" t="s">
        <v>509</v>
      </c>
      <c r="E193" s="5" t="n">
        <v>3</v>
      </c>
      <c r="F193" s="5" t="n">
        <v>0</v>
      </c>
      <c r="G193" s="5" t="n">
        <v>0</v>
      </c>
      <c r="H193" s="5" t="s">
        <v>469</v>
      </c>
      <c r="I193" s="7" t="n">
        <v>40255</v>
      </c>
      <c r="J193" s="5" t="n">
        <f aca="false">E193-F193</f>
        <v>3</v>
      </c>
      <c r="K193" s="7" t="n">
        <f aca="false">F193*I193</f>
        <v>0</v>
      </c>
      <c r="L193" s="7" t="n">
        <f aca="false">E193*I193</f>
        <v>120765</v>
      </c>
    </row>
    <row r="194" customFormat="false" ht="15" hidden="false" customHeight="false" outlineLevel="0" collapsed="false">
      <c r="A194" s="5" t="s">
        <v>441</v>
      </c>
      <c r="B194" s="5" t="n">
        <v>2</v>
      </c>
      <c r="C194" s="5" t="s">
        <v>496</v>
      </c>
      <c r="D194" s="5" t="s">
        <v>497</v>
      </c>
      <c r="E194" s="5" t="n">
        <v>2</v>
      </c>
      <c r="F194" s="5" t="n">
        <v>0</v>
      </c>
      <c r="G194" s="5" t="n">
        <v>0</v>
      </c>
      <c r="H194" s="5" t="s">
        <v>469</v>
      </c>
      <c r="I194" s="7" t="n">
        <v>18430</v>
      </c>
      <c r="J194" s="5" t="n">
        <f aca="false">E194-F194</f>
        <v>2</v>
      </c>
      <c r="K194" s="7" t="n">
        <f aca="false">F194*I194</f>
        <v>0</v>
      </c>
      <c r="L194" s="7" t="n">
        <f aca="false">E194*I194</f>
        <v>36860</v>
      </c>
    </row>
    <row r="195" customFormat="false" ht="15" hidden="false" customHeight="false" outlineLevel="0" collapsed="false">
      <c r="A195" s="5" t="s">
        <v>441</v>
      </c>
      <c r="B195" s="5" t="n">
        <v>3</v>
      </c>
      <c r="C195" s="5" t="s">
        <v>470</v>
      </c>
      <c r="D195" s="5" t="s">
        <v>471</v>
      </c>
      <c r="E195" s="5" t="n">
        <v>6</v>
      </c>
      <c r="F195" s="5" t="n">
        <v>0</v>
      </c>
      <c r="G195" s="5" t="n">
        <v>0</v>
      </c>
      <c r="H195" s="5" t="s">
        <v>469</v>
      </c>
      <c r="I195" s="7" t="n">
        <v>4947</v>
      </c>
      <c r="J195" s="5" t="n">
        <f aca="false">E195-F195</f>
        <v>6</v>
      </c>
      <c r="K195" s="7" t="n">
        <f aca="false">F195*I195</f>
        <v>0</v>
      </c>
      <c r="L195" s="7" t="n">
        <f aca="false">E195*I195</f>
        <v>29682</v>
      </c>
    </row>
    <row r="196" customFormat="false" ht="15" hidden="false" customHeight="false" outlineLevel="0" collapsed="false">
      <c r="A196" s="5" t="s">
        <v>443</v>
      </c>
      <c r="B196" s="5" t="n">
        <v>1</v>
      </c>
      <c r="C196" s="5" t="s">
        <v>474</v>
      </c>
      <c r="D196" s="5" t="s">
        <v>475</v>
      </c>
      <c r="E196" s="5" t="n">
        <v>217</v>
      </c>
      <c r="F196" s="5" t="n">
        <v>217</v>
      </c>
      <c r="G196" s="5" t="n">
        <v>0</v>
      </c>
      <c r="H196" s="5" t="s">
        <v>466</v>
      </c>
      <c r="I196" s="7" t="n">
        <v>191.1</v>
      </c>
      <c r="J196" s="5" t="n">
        <f aca="false">E196-F196</f>
        <v>0</v>
      </c>
      <c r="K196" s="7" t="n">
        <f aca="false">F196*I196</f>
        <v>41468.7</v>
      </c>
      <c r="L196" s="7" t="n">
        <f aca="false">E196*I196</f>
        <v>41468.7</v>
      </c>
    </row>
    <row r="197" customFormat="false" ht="15" hidden="false" customHeight="false" outlineLevel="0" collapsed="false">
      <c r="A197" s="5" t="s">
        <v>443</v>
      </c>
      <c r="B197" s="5" t="n">
        <v>2</v>
      </c>
      <c r="C197" s="5" t="s">
        <v>480</v>
      </c>
      <c r="D197" s="5" t="s">
        <v>481</v>
      </c>
      <c r="E197" s="5" t="n">
        <v>301</v>
      </c>
      <c r="F197" s="5" t="n">
        <v>301</v>
      </c>
      <c r="G197" s="5" t="n">
        <v>0</v>
      </c>
      <c r="H197" s="5" t="s">
        <v>466</v>
      </c>
      <c r="I197" s="7" t="n">
        <v>225.4</v>
      </c>
      <c r="J197" s="5" t="n">
        <f aca="false">E197-F197</f>
        <v>0</v>
      </c>
      <c r="K197" s="7" t="n">
        <f aca="false">F197*I197</f>
        <v>67845.4</v>
      </c>
      <c r="L197" s="7" t="n">
        <f aca="false">E197*I197</f>
        <v>67845.4</v>
      </c>
    </row>
    <row r="198" customFormat="false" ht="15" hidden="false" customHeight="false" outlineLevel="0" collapsed="false">
      <c r="A198" s="5" t="s">
        <v>443</v>
      </c>
      <c r="B198" s="5" t="n">
        <v>3</v>
      </c>
      <c r="C198" s="5" t="s">
        <v>492</v>
      </c>
      <c r="D198" s="5" t="s">
        <v>493</v>
      </c>
      <c r="E198" s="5" t="n">
        <v>157</v>
      </c>
      <c r="F198" s="5" t="n">
        <v>157</v>
      </c>
      <c r="G198" s="5" t="n">
        <v>0</v>
      </c>
      <c r="H198" s="5" t="s">
        <v>486</v>
      </c>
      <c r="I198" s="7" t="n">
        <v>132.3</v>
      </c>
      <c r="J198" s="5" t="n">
        <f aca="false">E198-F198</f>
        <v>0</v>
      </c>
      <c r="K198" s="7" t="n">
        <f aca="false">F198*I198</f>
        <v>20771.1</v>
      </c>
      <c r="L198" s="7" t="n">
        <f aca="false">E198*I198</f>
        <v>20771.1</v>
      </c>
    </row>
    <row r="199" customFormat="false" ht="15" hidden="false" customHeight="false" outlineLevel="0" collapsed="false">
      <c r="A199" s="5" t="s">
        <v>445</v>
      </c>
      <c r="B199" s="5" t="n">
        <v>1</v>
      </c>
      <c r="C199" s="5" t="s">
        <v>480</v>
      </c>
      <c r="D199" s="5" t="s">
        <v>481</v>
      </c>
      <c r="E199" s="5" t="n">
        <v>398</v>
      </c>
      <c r="F199" s="5" t="n">
        <v>398</v>
      </c>
      <c r="G199" s="5" t="n">
        <v>398</v>
      </c>
      <c r="H199" s="5" t="s">
        <v>466</v>
      </c>
      <c r="I199" s="7" t="n">
        <v>230</v>
      </c>
      <c r="J199" s="5" t="n">
        <f aca="false">E199-F199</f>
        <v>0</v>
      </c>
      <c r="K199" s="7" t="n">
        <f aca="false">F199*I199</f>
        <v>91540</v>
      </c>
      <c r="L199" s="7" t="n">
        <f aca="false">E199*I199</f>
        <v>91540</v>
      </c>
    </row>
    <row r="200" customFormat="false" ht="15" hidden="false" customHeight="false" outlineLevel="0" collapsed="false">
      <c r="A200" s="5" t="s">
        <v>445</v>
      </c>
      <c r="B200" s="5" t="n">
        <v>2</v>
      </c>
      <c r="C200" s="5" t="s">
        <v>482</v>
      </c>
      <c r="D200" s="5" t="s">
        <v>483</v>
      </c>
      <c r="E200" s="5" t="n">
        <v>7</v>
      </c>
      <c r="F200" s="5" t="n">
        <v>7</v>
      </c>
      <c r="G200" s="5" t="n">
        <v>7</v>
      </c>
      <c r="H200" s="5" t="s">
        <v>469</v>
      </c>
      <c r="I200" s="7" t="n">
        <v>1750</v>
      </c>
      <c r="J200" s="5" t="n">
        <f aca="false">E200-F200</f>
        <v>0</v>
      </c>
      <c r="K200" s="7" t="n">
        <f aca="false">F200*I200</f>
        <v>12250</v>
      </c>
      <c r="L200" s="7" t="n">
        <f aca="false">E200*I200</f>
        <v>12250</v>
      </c>
    </row>
    <row r="201" customFormat="false" ht="15" hidden="false" customHeight="false" outlineLevel="0" collapsed="false">
      <c r="A201" s="5" t="s">
        <v>445</v>
      </c>
      <c r="B201" s="5" t="n">
        <v>3</v>
      </c>
      <c r="C201" s="5" t="s">
        <v>464</v>
      </c>
      <c r="D201" s="5" t="s">
        <v>465</v>
      </c>
      <c r="E201" s="5" t="n">
        <v>342</v>
      </c>
      <c r="F201" s="5" t="n">
        <v>342</v>
      </c>
      <c r="G201" s="5" t="n">
        <v>342</v>
      </c>
      <c r="H201" s="5" t="s">
        <v>466</v>
      </c>
      <c r="I201" s="7" t="n">
        <v>58</v>
      </c>
      <c r="J201" s="5" t="n">
        <f aca="false">E201-F201</f>
        <v>0</v>
      </c>
      <c r="K201" s="7" t="n">
        <f aca="false">F201*I201</f>
        <v>19836</v>
      </c>
      <c r="L201" s="7" t="n">
        <f aca="false">E201*I201</f>
        <v>19836</v>
      </c>
    </row>
    <row r="202" customFormat="false" ht="15" hidden="false" customHeight="false" outlineLevel="0" collapsed="false">
      <c r="A202" s="5" t="s">
        <v>448</v>
      </c>
      <c r="B202" s="5" t="n">
        <v>1</v>
      </c>
      <c r="C202" s="5" t="s">
        <v>508</v>
      </c>
      <c r="D202" s="5" t="s">
        <v>509</v>
      </c>
      <c r="E202" s="5" t="n">
        <v>2</v>
      </c>
      <c r="F202" s="5" t="n">
        <v>0</v>
      </c>
      <c r="G202" s="5" t="n">
        <v>0</v>
      </c>
      <c r="H202" s="5" t="s">
        <v>469</v>
      </c>
      <c r="I202" s="7" t="n">
        <v>40670</v>
      </c>
      <c r="J202" s="5" t="n">
        <f aca="false">E202-F202</f>
        <v>2</v>
      </c>
      <c r="K202" s="7" t="n">
        <f aca="false">F202*I202</f>
        <v>0</v>
      </c>
      <c r="L202" s="7" t="n">
        <f aca="false">E202*I202</f>
        <v>81340</v>
      </c>
    </row>
    <row r="203" customFormat="false" ht="15" hidden="false" customHeight="false" outlineLevel="0" collapsed="false">
      <c r="A203" s="5" t="s">
        <v>448</v>
      </c>
      <c r="B203" s="5" t="n">
        <v>2</v>
      </c>
      <c r="C203" s="5" t="s">
        <v>501</v>
      </c>
      <c r="D203" s="5" t="s">
        <v>502</v>
      </c>
      <c r="E203" s="5" t="n">
        <v>75</v>
      </c>
      <c r="F203" s="5" t="n">
        <v>0</v>
      </c>
      <c r="G203" s="5" t="n">
        <v>0</v>
      </c>
      <c r="H203" s="5" t="s">
        <v>466</v>
      </c>
      <c r="I203" s="7" t="n">
        <v>441</v>
      </c>
      <c r="J203" s="5" t="n">
        <f aca="false">E203-F203</f>
        <v>75</v>
      </c>
      <c r="K203" s="7" t="n">
        <f aca="false">F203*I203</f>
        <v>0</v>
      </c>
      <c r="L203" s="7" t="n">
        <f aca="false">E203*I203</f>
        <v>33075</v>
      </c>
    </row>
    <row r="204" customFormat="false" ht="15" hidden="false" customHeight="false" outlineLevel="0" collapsed="false">
      <c r="A204" s="5" t="s">
        <v>448</v>
      </c>
      <c r="B204" s="5" t="n">
        <v>3</v>
      </c>
      <c r="C204" s="5" t="s">
        <v>480</v>
      </c>
      <c r="D204" s="5" t="s">
        <v>481</v>
      </c>
      <c r="E204" s="5" t="n">
        <v>219</v>
      </c>
      <c r="F204" s="5" t="n">
        <v>0</v>
      </c>
      <c r="G204" s="5" t="n">
        <v>0</v>
      </c>
      <c r="H204" s="5" t="s">
        <v>466</v>
      </c>
      <c r="I204" s="7" t="n">
        <v>225.4</v>
      </c>
      <c r="J204" s="5" t="n">
        <f aca="false">E204-F204</f>
        <v>219</v>
      </c>
      <c r="K204" s="7" t="n">
        <f aca="false">F204*I204</f>
        <v>0</v>
      </c>
      <c r="L204" s="7" t="n">
        <f aca="false">E204*I204</f>
        <v>49362.6</v>
      </c>
    </row>
    <row r="205" customFormat="false" ht="15" hidden="false" customHeight="false" outlineLevel="0" collapsed="false">
      <c r="A205" s="5" t="s">
        <v>448</v>
      </c>
      <c r="B205" s="5" t="n">
        <v>4</v>
      </c>
      <c r="C205" s="5" t="s">
        <v>482</v>
      </c>
      <c r="D205" s="5" t="s">
        <v>483</v>
      </c>
      <c r="E205" s="5" t="n">
        <v>4</v>
      </c>
      <c r="F205" s="5" t="n">
        <v>0</v>
      </c>
      <c r="G205" s="5" t="n">
        <v>0</v>
      </c>
      <c r="H205" s="5" t="s">
        <v>469</v>
      </c>
      <c r="I205" s="7" t="n">
        <v>1715</v>
      </c>
      <c r="J205" s="5" t="n">
        <f aca="false">E205-F205</f>
        <v>4</v>
      </c>
      <c r="K205" s="7" t="n">
        <f aca="false">F205*I205</f>
        <v>0</v>
      </c>
      <c r="L205" s="7" t="n">
        <f aca="false">E205*I205</f>
        <v>6860</v>
      </c>
    </row>
    <row r="206" customFormat="false" ht="15" hidden="false" customHeight="false" outlineLevel="0" collapsed="false">
      <c r="A206" s="5" t="s">
        <v>449</v>
      </c>
      <c r="B206" s="5" t="n">
        <v>1</v>
      </c>
      <c r="C206" s="5" t="s">
        <v>464</v>
      </c>
      <c r="D206" s="5" t="s">
        <v>465</v>
      </c>
      <c r="E206" s="5" t="n">
        <v>6</v>
      </c>
      <c r="F206" s="5" t="n">
        <v>0</v>
      </c>
      <c r="G206" s="5" t="n">
        <v>0</v>
      </c>
      <c r="H206" s="5" t="s">
        <v>466</v>
      </c>
      <c r="I206" s="7" t="n">
        <v>58</v>
      </c>
      <c r="J206" s="5" t="n">
        <f aca="false">E206-F206</f>
        <v>6</v>
      </c>
      <c r="K206" s="7" t="n">
        <f aca="false">F206*I206</f>
        <v>0</v>
      </c>
      <c r="L206" s="7" t="n">
        <f aca="false">E206*I206</f>
        <v>348</v>
      </c>
    </row>
    <row r="207" customFormat="false" ht="15" hidden="false" customHeight="false" outlineLevel="0" collapsed="false">
      <c r="A207" s="5" t="s">
        <v>449</v>
      </c>
      <c r="B207" s="5" t="n">
        <v>2</v>
      </c>
      <c r="C207" s="5" t="s">
        <v>474</v>
      </c>
      <c r="D207" s="5" t="s">
        <v>475</v>
      </c>
      <c r="E207" s="5" t="n">
        <v>11</v>
      </c>
      <c r="F207" s="5" t="n">
        <v>0</v>
      </c>
      <c r="G207" s="5" t="n">
        <v>0</v>
      </c>
      <c r="H207" s="5" t="s">
        <v>466</v>
      </c>
      <c r="I207" s="7" t="n">
        <v>195</v>
      </c>
      <c r="J207" s="5" t="n">
        <f aca="false">E207-F207</f>
        <v>11</v>
      </c>
      <c r="K207" s="7" t="n">
        <f aca="false">F207*I207</f>
        <v>0</v>
      </c>
      <c r="L207" s="7" t="n">
        <f aca="false">E207*I207</f>
        <v>2145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Q9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6" min="5" style="0" width="24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32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3" min="13" style="0" width="25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29"/>
    <col collapsed="false" customWidth="true" hidden="false" outlineLevel="0" max="17" min="17" style="0" width="22"/>
  </cols>
  <sheetData>
    <row r="1" customFormat="false" ht="15" hidden="false" customHeight="false" outlineLevel="0" collapsed="false">
      <c r="A1" s="11" t="s">
        <v>516</v>
      </c>
    </row>
    <row r="2" customFormat="false" ht="15" hidden="false" customHeight="false" outlineLevel="0" collapsed="false">
      <c r="A2" s="12" t="s">
        <v>517</v>
      </c>
    </row>
    <row r="3" customFormat="false" ht="31.5" hidden="false" customHeight="true" outlineLevel="0" collapsed="false">
      <c r="A3" s="4" t="s">
        <v>518</v>
      </c>
      <c r="B3" s="4" t="s">
        <v>519</v>
      </c>
      <c r="C3" s="4" t="s">
        <v>23</v>
      </c>
      <c r="D3" s="4" t="s">
        <v>183</v>
      </c>
      <c r="E3" s="4" t="s">
        <v>520</v>
      </c>
      <c r="F3" s="4" t="s">
        <v>521</v>
      </c>
      <c r="G3" s="4" t="s">
        <v>522</v>
      </c>
      <c r="H3" s="4" t="s">
        <v>523</v>
      </c>
      <c r="I3" s="4" t="s">
        <v>524</v>
      </c>
      <c r="J3" s="4" t="s">
        <v>525</v>
      </c>
      <c r="K3" s="4" t="s">
        <v>526</v>
      </c>
      <c r="L3" s="4" t="s">
        <v>527</v>
      </c>
      <c r="M3" s="4" t="s">
        <v>528</v>
      </c>
      <c r="N3" s="4" t="s">
        <v>529</v>
      </c>
      <c r="O3" s="4" t="s">
        <v>530</v>
      </c>
      <c r="P3" s="4" t="s">
        <v>531</v>
      </c>
      <c r="Q3" s="4" t="s">
        <v>532</v>
      </c>
    </row>
    <row r="4" customFormat="false" ht="15" hidden="false" customHeight="false" outlineLevel="0" collapsed="false">
      <c r="A4" s="5" t="s">
        <v>533</v>
      </c>
      <c r="B4" s="5" t="s">
        <v>534</v>
      </c>
      <c r="C4" s="5" t="s">
        <v>38</v>
      </c>
      <c r="D4" s="5" t="s">
        <v>39</v>
      </c>
      <c r="E4" s="5" t="s">
        <v>535</v>
      </c>
      <c r="F4" s="5" t="s">
        <v>536</v>
      </c>
      <c r="G4" s="5" t="s">
        <v>537</v>
      </c>
      <c r="H4" s="5" t="s">
        <v>538</v>
      </c>
      <c r="I4" s="5" t="n">
        <v>100</v>
      </c>
      <c r="J4" s="7" t="n">
        <v>134007.44</v>
      </c>
      <c r="K4" s="7" t="n">
        <f aca="false">J4*I4/100</f>
        <v>134007.44</v>
      </c>
      <c r="L4" s="10" t="n">
        <v>46143</v>
      </c>
      <c r="M4" s="10" t="n">
        <v>46147</v>
      </c>
      <c r="N4" s="5"/>
      <c r="O4" s="5" t="s">
        <v>188</v>
      </c>
      <c r="P4" s="7" t="n">
        <f aca="false">SUMIFS('Sales Order Lines'!$L$2:$L$207,'Sales Order Lines'!$A$2:$A$207,O4)</f>
        <v>134007.44</v>
      </c>
      <c r="Q4" s="7" t="n">
        <f aca="false">IF(O4="",0,P4-J4)</f>
        <v>0</v>
      </c>
    </row>
    <row r="5" customFormat="false" ht="15" hidden="false" customHeight="false" outlineLevel="0" collapsed="false">
      <c r="A5" s="5" t="s">
        <v>539</v>
      </c>
      <c r="B5" s="5" t="s">
        <v>540</v>
      </c>
      <c r="C5" s="5" t="s">
        <v>47</v>
      </c>
      <c r="D5" s="5" t="s">
        <v>48</v>
      </c>
      <c r="E5" s="5" t="s">
        <v>541</v>
      </c>
      <c r="F5" s="5" t="s">
        <v>542</v>
      </c>
      <c r="G5" s="5" t="s">
        <v>543</v>
      </c>
      <c r="H5" s="5" t="s">
        <v>538</v>
      </c>
      <c r="I5" s="5" t="n">
        <v>100</v>
      </c>
      <c r="J5" s="7" t="n">
        <v>72682.1</v>
      </c>
      <c r="K5" s="7" t="n">
        <f aca="false">J5*I5/100</f>
        <v>72682.1</v>
      </c>
      <c r="L5" s="10" t="n">
        <v>46143</v>
      </c>
      <c r="M5" s="10" t="n">
        <v>46154</v>
      </c>
      <c r="N5" s="5"/>
      <c r="O5" s="5" t="s">
        <v>199</v>
      </c>
      <c r="P5" s="7" t="n">
        <f aca="false">SUMIFS('Sales Order Lines'!$L$2:$L$207,'Sales Order Lines'!$A$2:$A$207,O5)</f>
        <v>72682.1</v>
      </c>
      <c r="Q5" s="7" t="n">
        <f aca="false">IF(O5="",0,P5-J5)</f>
        <v>0</v>
      </c>
    </row>
    <row r="6" customFormat="false" ht="15" hidden="false" customHeight="false" outlineLevel="0" collapsed="false">
      <c r="A6" s="5" t="s">
        <v>544</v>
      </c>
      <c r="B6" s="5" t="s">
        <v>545</v>
      </c>
      <c r="C6" s="5" t="s">
        <v>47</v>
      </c>
      <c r="D6" s="5" t="s">
        <v>48</v>
      </c>
      <c r="E6" s="5" t="s">
        <v>541</v>
      </c>
      <c r="F6" s="5" t="s">
        <v>542</v>
      </c>
      <c r="G6" s="5" t="s">
        <v>546</v>
      </c>
      <c r="H6" s="5" t="s">
        <v>538</v>
      </c>
      <c r="I6" s="5" t="n">
        <v>100</v>
      </c>
      <c r="J6" s="7" t="n">
        <v>113679.15</v>
      </c>
      <c r="K6" s="7" t="n">
        <f aca="false">J6*I6/100</f>
        <v>113679.15</v>
      </c>
      <c r="L6" s="10" t="n">
        <v>46143</v>
      </c>
      <c r="M6" s="10" t="n">
        <v>46180</v>
      </c>
      <c r="N6" s="5"/>
      <c r="O6" s="5" t="s">
        <v>248</v>
      </c>
      <c r="P6" s="7" t="n">
        <f aca="false">SUMIFS('Sales Order Lines'!$L$2:$L$207,'Sales Order Lines'!$A$2:$A$207,O6)</f>
        <v>113679.15</v>
      </c>
      <c r="Q6" s="7" t="n">
        <f aca="false">IF(O6="",0,P6-J6)</f>
        <v>0</v>
      </c>
    </row>
    <row r="7" customFormat="false" ht="15" hidden="false" customHeight="false" outlineLevel="0" collapsed="false">
      <c r="A7" s="5" t="s">
        <v>547</v>
      </c>
      <c r="B7" s="5" t="s">
        <v>548</v>
      </c>
      <c r="C7" s="5" t="s">
        <v>55</v>
      </c>
      <c r="D7" s="5" t="s">
        <v>56</v>
      </c>
      <c r="E7" s="5" t="s">
        <v>541</v>
      </c>
      <c r="F7" s="5" t="s">
        <v>542</v>
      </c>
      <c r="G7" s="5" t="s">
        <v>543</v>
      </c>
      <c r="H7" s="5" t="s">
        <v>538</v>
      </c>
      <c r="I7" s="5" t="n">
        <v>100</v>
      </c>
      <c r="J7" s="7" t="n">
        <v>222264</v>
      </c>
      <c r="K7" s="7" t="n">
        <f aca="false">J7*I7/100</f>
        <v>222264</v>
      </c>
      <c r="L7" s="10" t="n">
        <v>46143</v>
      </c>
      <c r="M7" s="10" t="n">
        <v>46147</v>
      </c>
      <c r="N7" s="5"/>
      <c r="O7" s="5" t="s">
        <v>193</v>
      </c>
      <c r="P7" s="7" t="n">
        <f aca="false">SUMIFS('Sales Order Lines'!$L$2:$L$207,'Sales Order Lines'!$A$2:$A$207,O7)</f>
        <v>222264</v>
      </c>
      <c r="Q7" s="7" t="n">
        <f aca="false">IF(O7="",0,P7-J7)</f>
        <v>0</v>
      </c>
    </row>
    <row r="8" customFormat="false" ht="15" hidden="false" customHeight="false" outlineLevel="0" collapsed="false">
      <c r="A8" s="5" t="s">
        <v>549</v>
      </c>
      <c r="B8" s="5" t="s">
        <v>550</v>
      </c>
      <c r="C8" s="5" t="s">
        <v>62</v>
      </c>
      <c r="D8" s="5" t="s">
        <v>63</v>
      </c>
      <c r="E8" s="5" t="s">
        <v>541</v>
      </c>
      <c r="F8" s="5" t="s">
        <v>542</v>
      </c>
      <c r="G8" s="5" t="s">
        <v>551</v>
      </c>
      <c r="H8" s="5" t="s">
        <v>538</v>
      </c>
      <c r="I8" s="5" t="n">
        <v>100</v>
      </c>
      <c r="J8" s="7" t="n">
        <v>90803.64</v>
      </c>
      <c r="K8" s="7" t="n">
        <f aca="false">J8*I8/100</f>
        <v>90803.64</v>
      </c>
      <c r="L8" s="10" t="n">
        <v>46143</v>
      </c>
      <c r="M8" s="10" t="n">
        <v>46170</v>
      </c>
      <c r="N8" s="5"/>
      <c r="O8" s="5" t="s">
        <v>235</v>
      </c>
      <c r="P8" s="7" t="n">
        <f aca="false">SUMIFS('Sales Order Lines'!$L$2:$L$207,'Sales Order Lines'!$A$2:$A$207,O8)</f>
        <v>90803.64</v>
      </c>
      <c r="Q8" s="7" t="n">
        <f aca="false">IF(O8="",0,P8-J8)</f>
        <v>0</v>
      </c>
    </row>
    <row r="9" customFormat="false" ht="15" hidden="false" customHeight="false" outlineLevel="0" collapsed="false">
      <c r="A9" s="5" t="s">
        <v>552</v>
      </c>
      <c r="B9" s="5" t="s">
        <v>553</v>
      </c>
      <c r="C9" s="5" t="s">
        <v>69</v>
      </c>
      <c r="D9" s="5" t="s">
        <v>70</v>
      </c>
      <c r="E9" s="5" t="s">
        <v>535</v>
      </c>
      <c r="F9" s="5" t="s">
        <v>536</v>
      </c>
      <c r="G9" s="5" t="s">
        <v>543</v>
      </c>
      <c r="H9" s="5" t="s">
        <v>538</v>
      </c>
      <c r="I9" s="5" t="n">
        <v>100</v>
      </c>
      <c r="J9" s="7" t="n">
        <v>121130</v>
      </c>
      <c r="K9" s="7" t="n">
        <f aca="false">J9*I9/100</f>
        <v>121130</v>
      </c>
      <c r="L9" s="10" t="n">
        <v>46143</v>
      </c>
      <c r="M9" s="10" t="n">
        <v>46152</v>
      </c>
      <c r="N9" s="5"/>
      <c r="O9" s="5" t="s">
        <v>196</v>
      </c>
      <c r="P9" s="7" t="n">
        <f aca="false">SUMIFS('Sales Order Lines'!$L$2:$L$207,'Sales Order Lines'!$A$2:$A$207,O9)</f>
        <v>121130</v>
      </c>
      <c r="Q9" s="7" t="n">
        <f aca="false">IF(O9="",0,P9-J9)</f>
        <v>0</v>
      </c>
    </row>
    <row r="10" customFormat="false" ht="15" hidden="false" customHeight="false" outlineLevel="0" collapsed="false">
      <c r="A10" s="5" t="s">
        <v>554</v>
      </c>
      <c r="B10" s="5" t="s">
        <v>553</v>
      </c>
      <c r="C10" s="5" t="s">
        <v>69</v>
      </c>
      <c r="D10" s="5" t="s">
        <v>70</v>
      </c>
      <c r="E10" s="5" t="s">
        <v>535</v>
      </c>
      <c r="F10" s="5" t="s">
        <v>536</v>
      </c>
      <c r="G10" s="5" t="s">
        <v>551</v>
      </c>
      <c r="H10" s="5" t="s">
        <v>538</v>
      </c>
      <c r="I10" s="5" t="n">
        <v>100</v>
      </c>
      <c r="J10" s="7" t="n">
        <v>48150</v>
      </c>
      <c r="K10" s="7" t="n">
        <f aca="false">J10*I10/100</f>
        <v>48150</v>
      </c>
      <c r="L10" s="10" t="n">
        <v>46143</v>
      </c>
      <c r="M10" s="10" t="n">
        <v>46196</v>
      </c>
      <c r="N10" s="5"/>
      <c r="O10" s="5" t="s">
        <v>272</v>
      </c>
      <c r="P10" s="7" t="n">
        <f aca="false">SUMIFS('Sales Order Lines'!$L$2:$L$207,'Sales Order Lines'!$A$2:$A$207,O10)</f>
        <v>48150</v>
      </c>
      <c r="Q10" s="7" t="n">
        <f aca="false">IF(O10="",0,P10-J10)</f>
        <v>0</v>
      </c>
    </row>
    <row r="11" customFormat="false" ht="15" hidden="false" customHeight="false" outlineLevel="0" collapsed="false">
      <c r="A11" s="5" t="s">
        <v>555</v>
      </c>
      <c r="B11" s="5" t="s">
        <v>556</v>
      </c>
      <c r="C11" s="5" t="s">
        <v>76</v>
      </c>
      <c r="D11" s="5" t="s">
        <v>77</v>
      </c>
      <c r="E11" s="5" t="s">
        <v>535</v>
      </c>
      <c r="F11" s="5" t="s">
        <v>536</v>
      </c>
      <c r="G11" s="5" t="s">
        <v>551</v>
      </c>
      <c r="H11" s="5" t="s">
        <v>538</v>
      </c>
      <c r="I11" s="5" t="n">
        <v>100</v>
      </c>
      <c r="J11" s="7" t="n">
        <v>85431.5</v>
      </c>
      <c r="K11" s="7" t="n">
        <f aca="false">J11*I11/100</f>
        <v>85431.5</v>
      </c>
      <c r="L11" s="10" t="n">
        <v>46143</v>
      </c>
      <c r="M11" s="10" t="n">
        <v>46166</v>
      </c>
      <c r="N11" s="5"/>
      <c r="O11" s="5" t="s">
        <v>220</v>
      </c>
      <c r="P11" s="7" t="n">
        <f aca="false">SUMIFS('Sales Order Lines'!$L$2:$L$207,'Sales Order Lines'!$A$2:$A$207,O11)</f>
        <v>85431.5</v>
      </c>
      <c r="Q11" s="7" t="n">
        <f aca="false">IF(O11="",0,P11-J11)</f>
        <v>0</v>
      </c>
    </row>
    <row r="12" customFormat="false" ht="15" hidden="false" customHeight="false" outlineLevel="0" collapsed="false">
      <c r="A12" s="5" t="s">
        <v>557</v>
      </c>
      <c r="B12" s="5" t="s">
        <v>558</v>
      </c>
      <c r="C12" s="5" t="s">
        <v>97</v>
      </c>
      <c r="D12" s="5" t="s">
        <v>98</v>
      </c>
      <c r="E12" s="5" t="s">
        <v>535</v>
      </c>
      <c r="F12" s="5" t="s">
        <v>536</v>
      </c>
      <c r="G12" s="5" t="s">
        <v>559</v>
      </c>
      <c r="H12" s="5" t="s">
        <v>538</v>
      </c>
      <c r="I12" s="5" t="n">
        <v>100</v>
      </c>
      <c r="J12" s="7" t="n">
        <v>90639.5</v>
      </c>
      <c r="K12" s="7" t="n">
        <f aca="false">J12*I12/100</f>
        <v>90639.5</v>
      </c>
      <c r="L12" s="10" t="n">
        <v>46143</v>
      </c>
      <c r="M12" s="10" t="n">
        <v>46159</v>
      </c>
      <c r="N12" s="5"/>
      <c r="O12" s="5" t="s">
        <v>208</v>
      </c>
      <c r="P12" s="7" t="n">
        <f aca="false">SUMIFS('Sales Order Lines'!$L$2:$L$207,'Sales Order Lines'!$A$2:$A$207,O12)</f>
        <v>90639.5</v>
      </c>
      <c r="Q12" s="7" t="n">
        <f aca="false">IF(O12="",0,P12-J12)</f>
        <v>0</v>
      </c>
    </row>
    <row r="13" customFormat="false" ht="15" hidden="false" customHeight="false" outlineLevel="0" collapsed="false">
      <c r="A13" s="5" t="s">
        <v>560</v>
      </c>
      <c r="B13" s="5" t="s">
        <v>561</v>
      </c>
      <c r="C13" s="5" t="s">
        <v>104</v>
      </c>
      <c r="D13" s="5" t="s">
        <v>105</v>
      </c>
      <c r="E13" s="5" t="s">
        <v>562</v>
      </c>
      <c r="F13" s="5" t="s">
        <v>563</v>
      </c>
      <c r="G13" s="5" t="s">
        <v>551</v>
      </c>
      <c r="H13" s="5" t="s">
        <v>538</v>
      </c>
      <c r="I13" s="5" t="n">
        <v>100</v>
      </c>
      <c r="J13" s="7" t="n">
        <v>69005.8</v>
      </c>
      <c r="K13" s="7" t="n">
        <f aca="false">J13*I13/100</f>
        <v>69005.8</v>
      </c>
      <c r="L13" s="10" t="n">
        <v>46143</v>
      </c>
      <c r="M13" s="10" t="n">
        <v>46160</v>
      </c>
      <c r="N13" s="5"/>
      <c r="O13" s="5" t="s">
        <v>211</v>
      </c>
      <c r="P13" s="7" t="n">
        <f aca="false">SUMIFS('Sales Order Lines'!$L$2:$L$207,'Sales Order Lines'!$A$2:$A$207,O13)</f>
        <v>69005.8</v>
      </c>
      <c r="Q13" s="7" t="n">
        <f aca="false">IF(O13="",0,P13-J13)</f>
        <v>0</v>
      </c>
    </row>
    <row r="14" customFormat="false" ht="15" hidden="false" customHeight="false" outlineLevel="0" collapsed="false">
      <c r="A14" s="5" t="s">
        <v>564</v>
      </c>
      <c r="B14" s="5" t="s">
        <v>565</v>
      </c>
      <c r="C14" s="5" t="s">
        <v>104</v>
      </c>
      <c r="D14" s="5" t="s">
        <v>105</v>
      </c>
      <c r="E14" s="5" t="s">
        <v>562</v>
      </c>
      <c r="F14" s="5" t="s">
        <v>563</v>
      </c>
      <c r="G14" s="5" t="s">
        <v>566</v>
      </c>
      <c r="H14" s="5" t="s">
        <v>538</v>
      </c>
      <c r="I14" s="5" t="n">
        <v>100</v>
      </c>
      <c r="J14" s="7" t="n">
        <v>103984</v>
      </c>
      <c r="K14" s="7" t="n">
        <f aca="false">J14*I14/100</f>
        <v>103984</v>
      </c>
      <c r="L14" s="10" t="n">
        <v>46143</v>
      </c>
      <c r="M14" s="10" t="n">
        <v>46181</v>
      </c>
      <c r="N14" s="5"/>
      <c r="O14" s="5" t="s">
        <v>254</v>
      </c>
      <c r="P14" s="7" t="n">
        <f aca="false">SUMIFS('Sales Order Lines'!$L$2:$L$207,'Sales Order Lines'!$A$2:$A$207,O14)</f>
        <v>103984</v>
      </c>
      <c r="Q14" s="7" t="n">
        <f aca="false">IF(O14="",0,P14-J14)</f>
        <v>0</v>
      </c>
    </row>
    <row r="15" customFormat="false" ht="15" hidden="false" customHeight="false" outlineLevel="0" collapsed="false">
      <c r="A15" s="5" t="s">
        <v>567</v>
      </c>
      <c r="B15" s="5" t="s">
        <v>568</v>
      </c>
      <c r="C15" s="5" t="s">
        <v>111</v>
      </c>
      <c r="D15" s="5" t="s">
        <v>112</v>
      </c>
      <c r="E15" s="5" t="s">
        <v>535</v>
      </c>
      <c r="F15" s="5" t="s">
        <v>536</v>
      </c>
      <c r="G15" s="5" t="s">
        <v>559</v>
      </c>
      <c r="H15" s="5" t="s">
        <v>538</v>
      </c>
      <c r="I15" s="5" t="n">
        <v>100</v>
      </c>
      <c r="J15" s="7" t="n">
        <v>56448</v>
      </c>
      <c r="K15" s="7" t="n">
        <f aca="false">J15*I15/100</f>
        <v>56448</v>
      </c>
      <c r="L15" s="10" t="n">
        <v>46143</v>
      </c>
      <c r="M15" s="10" t="n">
        <v>46170</v>
      </c>
      <c r="N15" s="5"/>
      <c r="O15" s="5" t="s">
        <v>232</v>
      </c>
      <c r="P15" s="7" t="n">
        <f aca="false">SUMIFS('Sales Order Lines'!$L$2:$L$207,'Sales Order Lines'!$A$2:$A$207,O15)</f>
        <v>56448</v>
      </c>
      <c r="Q15" s="7" t="n">
        <f aca="false">IF(O15="",0,P15-J15)</f>
        <v>0</v>
      </c>
    </row>
    <row r="16" customFormat="false" ht="15" hidden="false" customHeight="false" outlineLevel="0" collapsed="false">
      <c r="A16" s="5" t="s">
        <v>569</v>
      </c>
      <c r="B16" s="5" t="s">
        <v>570</v>
      </c>
      <c r="C16" s="5" t="s">
        <v>118</v>
      </c>
      <c r="D16" s="5" t="s">
        <v>119</v>
      </c>
      <c r="E16" s="5" t="s">
        <v>535</v>
      </c>
      <c r="F16" s="5" t="s">
        <v>536</v>
      </c>
      <c r="G16" s="5" t="s">
        <v>546</v>
      </c>
      <c r="H16" s="5" t="s">
        <v>538</v>
      </c>
      <c r="I16" s="5" t="n">
        <v>100</v>
      </c>
      <c r="J16" s="7" t="n">
        <v>129306</v>
      </c>
      <c r="K16" s="7" t="n">
        <f aca="false">J16*I16/100</f>
        <v>129306</v>
      </c>
      <c r="L16" s="10" t="n">
        <v>46143</v>
      </c>
      <c r="M16" s="10" t="n">
        <v>46166</v>
      </c>
      <c r="N16" s="5"/>
      <c r="O16" s="5" t="s">
        <v>223</v>
      </c>
      <c r="P16" s="7" t="n">
        <f aca="false">SUMIFS('Sales Order Lines'!$L$2:$L$207,'Sales Order Lines'!$A$2:$A$207,O16)</f>
        <v>129306</v>
      </c>
      <c r="Q16" s="7" t="n">
        <f aca="false">IF(O16="",0,P16-J16)</f>
        <v>0</v>
      </c>
    </row>
    <row r="17" customFormat="false" ht="15" hidden="false" customHeight="false" outlineLevel="0" collapsed="false">
      <c r="A17" s="5" t="s">
        <v>571</v>
      </c>
      <c r="B17" s="5" t="s">
        <v>572</v>
      </c>
      <c r="C17" s="5" t="s">
        <v>118</v>
      </c>
      <c r="D17" s="5" t="s">
        <v>119</v>
      </c>
      <c r="E17" s="5" t="s">
        <v>535</v>
      </c>
      <c r="F17" s="5" t="s">
        <v>536</v>
      </c>
      <c r="G17" s="5" t="s">
        <v>551</v>
      </c>
      <c r="H17" s="5" t="s">
        <v>538</v>
      </c>
      <c r="I17" s="5" t="n">
        <v>100</v>
      </c>
      <c r="J17" s="7" t="n">
        <v>27000</v>
      </c>
      <c r="K17" s="7" t="n">
        <f aca="false">J17*I17/100</f>
        <v>27000</v>
      </c>
      <c r="L17" s="10" t="n">
        <v>46145</v>
      </c>
      <c r="M17" s="10" t="n">
        <v>46183</v>
      </c>
      <c r="N17" s="5"/>
      <c r="O17" s="5" t="s">
        <v>260</v>
      </c>
      <c r="P17" s="7" t="n">
        <f aca="false">SUMIFS('Sales Order Lines'!$L$2:$L$207,'Sales Order Lines'!$A$2:$A$207,O17)</f>
        <v>27000</v>
      </c>
      <c r="Q17" s="7" t="n">
        <f aca="false">IF(O17="",0,P17-J17)</f>
        <v>0</v>
      </c>
    </row>
    <row r="18" customFormat="false" ht="15" hidden="false" customHeight="false" outlineLevel="0" collapsed="false">
      <c r="A18" s="5" t="s">
        <v>573</v>
      </c>
      <c r="B18" s="5" t="s">
        <v>574</v>
      </c>
      <c r="C18" s="5" t="s">
        <v>90</v>
      </c>
      <c r="D18" s="5" t="s">
        <v>91</v>
      </c>
      <c r="E18" s="5" t="s">
        <v>535</v>
      </c>
      <c r="F18" s="5" t="s">
        <v>536</v>
      </c>
      <c r="G18" s="5" t="s">
        <v>546</v>
      </c>
      <c r="H18" s="5" t="s">
        <v>538</v>
      </c>
      <c r="I18" s="5" t="n">
        <v>100</v>
      </c>
      <c r="J18" s="7" t="n">
        <v>87170</v>
      </c>
      <c r="K18" s="7" t="n">
        <f aca="false">J18*I18/100</f>
        <v>87170</v>
      </c>
      <c r="L18" s="10" t="n">
        <v>46148</v>
      </c>
      <c r="M18" s="10" t="n">
        <v>46169</v>
      </c>
      <c r="N18" s="5"/>
      <c r="O18" s="5" t="s">
        <v>229</v>
      </c>
      <c r="P18" s="7" t="n">
        <f aca="false">SUMIFS('Sales Order Lines'!$L$2:$L$207,'Sales Order Lines'!$A$2:$A$207,O18)</f>
        <v>87170</v>
      </c>
      <c r="Q18" s="7" t="n">
        <f aca="false">IF(O18="",0,P18-J18)</f>
        <v>0</v>
      </c>
    </row>
    <row r="19" customFormat="false" ht="15" hidden="false" customHeight="false" outlineLevel="0" collapsed="false">
      <c r="A19" s="5" t="s">
        <v>575</v>
      </c>
      <c r="B19" s="5" t="s">
        <v>576</v>
      </c>
      <c r="C19" s="5" t="s">
        <v>97</v>
      </c>
      <c r="D19" s="5" t="s">
        <v>98</v>
      </c>
      <c r="E19" s="5" t="s">
        <v>535</v>
      </c>
      <c r="F19" s="5" t="s">
        <v>536</v>
      </c>
      <c r="G19" s="5" t="s">
        <v>543</v>
      </c>
      <c r="H19" s="5" t="s">
        <v>577</v>
      </c>
      <c r="I19" s="5" t="n">
        <v>0</v>
      </c>
      <c r="J19" s="7" t="n">
        <v>3768900</v>
      </c>
      <c r="K19" s="7" t="n">
        <f aca="false">J19*I19/100</f>
        <v>0</v>
      </c>
      <c r="L19" s="10" t="n">
        <v>46150</v>
      </c>
      <c r="M19" s="10" t="n">
        <v>46169</v>
      </c>
      <c r="N19" s="5" t="s">
        <v>578</v>
      </c>
      <c r="O19" s="5"/>
      <c r="P19" s="7" t="n">
        <v>0</v>
      </c>
      <c r="Q19" s="7" t="n">
        <f aca="false">IF(O19="",0,P19-J19)</f>
        <v>0</v>
      </c>
    </row>
    <row r="20" customFormat="false" ht="15" hidden="false" customHeight="false" outlineLevel="0" collapsed="false">
      <c r="A20" s="5" t="s">
        <v>579</v>
      </c>
      <c r="B20" s="5" t="s">
        <v>580</v>
      </c>
      <c r="C20" s="5" t="s">
        <v>83</v>
      </c>
      <c r="D20" s="5" t="s">
        <v>84</v>
      </c>
      <c r="E20" s="5" t="s">
        <v>541</v>
      </c>
      <c r="F20" s="5" t="s">
        <v>542</v>
      </c>
      <c r="G20" s="5" t="s">
        <v>559</v>
      </c>
      <c r="H20" s="5" t="s">
        <v>538</v>
      </c>
      <c r="I20" s="5" t="n">
        <v>100</v>
      </c>
      <c r="J20" s="7" t="n">
        <v>33430</v>
      </c>
      <c r="K20" s="7" t="n">
        <f aca="false">J20*I20/100</f>
        <v>33430</v>
      </c>
      <c r="L20" s="10" t="n">
        <v>46153</v>
      </c>
      <c r="M20" s="10" t="n">
        <v>46168</v>
      </c>
      <c r="N20" s="5"/>
      <c r="O20" s="5" t="s">
        <v>226</v>
      </c>
      <c r="P20" s="7" t="n">
        <f aca="false">SUMIFS('Sales Order Lines'!$L$2:$L$207,'Sales Order Lines'!$A$2:$A$207,O20)</f>
        <v>33430</v>
      </c>
      <c r="Q20" s="7" t="n">
        <f aca="false">IF(O20="",0,P20-J20)</f>
        <v>0</v>
      </c>
    </row>
    <row r="21" customFormat="false" ht="15" hidden="false" customHeight="false" outlineLevel="0" collapsed="false">
      <c r="A21" s="5" t="s">
        <v>581</v>
      </c>
      <c r="B21" s="5" t="s">
        <v>582</v>
      </c>
      <c r="C21" s="5" t="s">
        <v>118</v>
      </c>
      <c r="D21" s="5" t="s">
        <v>119</v>
      </c>
      <c r="E21" s="5" t="s">
        <v>535</v>
      </c>
      <c r="F21" s="5" t="s">
        <v>536</v>
      </c>
      <c r="G21" s="5" t="s">
        <v>566</v>
      </c>
      <c r="H21" s="5" t="s">
        <v>577</v>
      </c>
      <c r="I21" s="5" t="n">
        <v>0</v>
      </c>
      <c r="J21" s="7" t="n">
        <v>38000</v>
      </c>
      <c r="K21" s="7" t="n">
        <f aca="false">J21*I21/100</f>
        <v>0</v>
      </c>
      <c r="L21" s="10" t="n">
        <v>46154</v>
      </c>
      <c r="M21" s="10" t="n">
        <v>46177</v>
      </c>
      <c r="N21" s="5" t="s">
        <v>583</v>
      </c>
      <c r="O21" s="5"/>
      <c r="P21" s="7" t="n">
        <v>0</v>
      </c>
      <c r="Q21" s="7" t="n">
        <f aca="false">IF(O21="",0,P21-J21)</f>
        <v>0</v>
      </c>
    </row>
    <row r="22" customFormat="false" ht="15" hidden="false" customHeight="false" outlineLevel="0" collapsed="false">
      <c r="A22" s="5" t="s">
        <v>584</v>
      </c>
      <c r="B22" s="5" t="s">
        <v>585</v>
      </c>
      <c r="C22" s="5" t="s">
        <v>90</v>
      </c>
      <c r="D22" s="5" t="s">
        <v>91</v>
      </c>
      <c r="E22" s="5" t="s">
        <v>535</v>
      </c>
      <c r="F22" s="5" t="s">
        <v>536</v>
      </c>
      <c r="G22" s="5" t="s">
        <v>566</v>
      </c>
      <c r="H22" s="5" t="s">
        <v>577</v>
      </c>
      <c r="I22" s="5" t="n">
        <v>0</v>
      </c>
      <c r="J22" s="7" t="n">
        <v>95000</v>
      </c>
      <c r="K22" s="7" t="n">
        <f aca="false">J22*I22/100</f>
        <v>0</v>
      </c>
      <c r="L22" s="10" t="n">
        <v>46155</v>
      </c>
      <c r="M22" s="10" t="n">
        <v>46184</v>
      </c>
      <c r="N22" s="5" t="s">
        <v>586</v>
      </c>
      <c r="O22" s="5"/>
      <c r="P22" s="7" t="n">
        <v>0</v>
      </c>
      <c r="Q22" s="7" t="n">
        <f aca="false">IF(O22="",0,P22-J22)</f>
        <v>0</v>
      </c>
    </row>
    <row r="23" customFormat="false" ht="15" hidden="false" customHeight="false" outlineLevel="0" collapsed="false">
      <c r="A23" s="5" t="s">
        <v>587</v>
      </c>
      <c r="B23" s="5" t="s">
        <v>588</v>
      </c>
      <c r="C23" s="5" t="s">
        <v>83</v>
      </c>
      <c r="D23" s="5" t="s">
        <v>84</v>
      </c>
      <c r="E23" s="5" t="s">
        <v>541</v>
      </c>
      <c r="F23" s="5" t="s">
        <v>542</v>
      </c>
      <c r="G23" s="5" t="s">
        <v>537</v>
      </c>
      <c r="H23" s="5" t="s">
        <v>577</v>
      </c>
      <c r="I23" s="5" t="n">
        <v>0</v>
      </c>
      <c r="J23" s="7" t="n">
        <v>129720</v>
      </c>
      <c r="K23" s="7" t="n">
        <f aca="false">J23*I23/100</f>
        <v>0</v>
      </c>
      <c r="L23" s="10" t="n">
        <v>46158</v>
      </c>
      <c r="M23" s="10" t="n">
        <v>46192</v>
      </c>
      <c r="N23" s="5" t="s">
        <v>589</v>
      </c>
      <c r="O23" s="5"/>
      <c r="P23" s="7" t="n">
        <v>0</v>
      </c>
      <c r="Q23" s="7" t="n">
        <f aca="false">IF(O23="",0,P23-J23)</f>
        <v>0</v>
      </c>
    </row>
    <row r="24" customFormat="false" ht="15" hidden="false" customHeight="false" outlineLevel="0" collapsed="false">
      <c r="A24" s="5" t="s">
        <v>590</v>
      </c>
      <c r="B24" s="5" t="s">
        <v>591</v>
      </c>
      <c r="C24" s="5" t="s">
        <v>111</v>
      </c>
      <c r="D24" s="5" t="s">
        <v>112</v>
      </c>
      <c r="E24" s="5" t="s">
        <v>535</v>
      </c>
      <c r="F24" s="5" t="s">
        <v>536</v>
      </c>
      <c r="G24" s="5" t="s">
        <v>546</v>
      </c>
      <c r="H24" s="5" t="s">
        <v>538</v>
      </c>
      <c r="I24" s="5" t="n">
        <v>100</v>
      </c>
      <c r="J24" s="7" t="n">
        <v>220500</v>
      </c>
      <c r="K24" s="7" t="n">
        <f aca="false">J24*I24/100</f>
        <v>220500</v>
      </c>
      <c r="L24" s="10" t="n">
        <v>46159</v>
      </c>
      <c r="M24" s="10" t="n">
        <v>46175</v>
      </c>
      <c r="N24" s="5"/>
      <c r="O24" s="5" t="s">
        <v>238</v>
      </c>
      <c r="P24" s="7" t="n">
        <f aca="false">SUMIFS('Sales Order Lines'!$L$2:$L$207,'Sales Order Lines'!$A$2:$A$207,O24)</f>
        <v>220500</v>
      </c>
      <c r="Q24" s="7" t="n">
        <f aca="false">IF(O24="",0,P24-J24)</f>
        <v>0</v>
      </c>
    </row>
    <row r="25" customFormat="false" ht="15" hidden="false" customHeight="false" outlineLevel="0" collapsed="false">
      <c r="A25" s="5" t="s">
        <v>592</v>
      </c>
      <c r="B25" s="5" t="s">
        <v>576</v>
      </c>
      <c r="C25" s="5" t="s">
        <v>97</v>
      </c>
      <c r="D25" s="5" t="s">
        <v>98</v>
      </c>
      <c r="E25" s="5" t="s">
        <v>535</v>
      </c>
      <c r="F25" s="5" t="s">
        <v>536</v>
      </c>
      <c r="G25" s="5" t="s">
        <v>537</v>
      </c>
      <c r="H25" s="5" t="s">
        <v>577</v>
      </c>
      <c r="I25" s="5" t="n">
        <v>0</v>
      </c>
      <c r="J25" s="7" t="n">
        <v>2381700</v>
      </c>
      <c r="K25" s="7" t="n">
        <f aca="false">J25*I25/100</f>
        <v>0</v>
      </c>
      <c r="L25" s="10" t="n">
        <v>46160</v>
      </c>
      <c r="M25" s="10" t="n">
        <v>46184</v>
      </c>
      <c r="N25" s="5" t="s">
        <v>578</v>
      </c>
      <c r="O25" s="5"/>
      <c r="P25" s="7" t="n">
        <v>0</v>
      </c>
      <c r="Q25" s="7" t="n">
        <f aca="false">IF(O25="",0,P25-J25)</f>
        <v>0</v>
      </c>
    </row>
    <row r="26" customFormat="false" ht="15" hidden="false" customHeight="false" outlineLevel="0" collapsed="false">
      <c r="A26" s="5" t="s">
        <v>593</v>
      </c>
      <c r="B26" s="5" t="s">
        <v>594</v>
      </c>
      <c r="C26" s="5" t="s">
        <v>90</v>
      </c>
      <c r="D26" s="5" t="s">
        <v>91</v>
      </c>
      <c r="E26" s="5" t="s">
        <v>535</v>
      </c>
      <c r="F26" s="5" t="s">
        <v>536</v>
      </c>
      <c r="G26" s="5" t="s">
        <v>543</v>
      </c>
      <c r="H26" s="5" t="s">
        <v>538</v>
      </c>
      <c r="I26" s="5" t="n">
        <v>100</v>
      </c>
      <c r="J26" s="7" t="n">
        <v>127095</v>
      </c>
      <c r="K26" s="7" t="n">
        <f aca="false">J26*I26/100</f>
        <v>127095</v>
      </c>
      <c r="L26" s="10" t="n">
        <v>46163</v>
      </c>
      <c r="M26" s="10" t="n">
        <v>46189</v>
      </c>
      <c r="N26" s="5"/>
      <c r="O26" s="5" t="s">
        <v>263</v>
      </c>
      <c r="P26" s="7" t="n">
        <f aca="false">SUMIFS('Sales Order Lines'!$L$2:$L$207,'Sales Order Lines'!$A$2:$A$207,O26)</f>
        <v>127095</v>
      </c>
      <c r="Q26" s="7" t="n">
        <f aca="false">IF(O26="",0,P26-J26)</f>
        <v>0</v>
      </c>
    </row>
    <row r="27" customFormat="false" ht="15" hidden="false" customHeight="false" outlineLevel="0" collapsed="false">
      <c r="A27" s="5" t="s">
        <v>595</v>
      </c>
      <c r="B27" s="5" t="s">
        <v>596</v>
      </c>
      <c r="C27" s="5" t="s">
        <v>111</v>
      </c>
      <c r="D27" s="5" t="s">
        <v>112</v>
      </c>
      <c r="E27" s="5" t="s">
        <v>535</v>
      </c>
      <c r="F27" s="5" t="s">
        <v>536</v>
      </c>
      <c r="G27" s="5" t="s">
        <v>559</v>
      </c>
      <c r="H27" s="5" t="s">
        <v>538</v>
      </c>
      <c r="I27" s="5" t="n">
        <v>100</v>
      </c>
      <c r="J27" s="7" t="n">
        <v>115565.52</v>
      </c>
      <c r="K27" s="7" t="n">
        <f aca="false">J27*I27/100</f>
        <v>115565.52</v>
      </c>
      <c r="L27" s="10" t="n">
        <v>46163</v>
      </c>
      <c r="M27" s="10" t="n">
        <v>46217</v>
      </c>
      <c r="N27" s="5"/>
      <c r="O27" s="5" t="s">
        <v>315</v>
      </c>
      <c r="P27" s="7" t="n">
        <f aca="false">SUMIFS('Sales Order Lines'!$L$2:$L$207,'Sales Order Lines'!$A$2:$A$207,O27)</f>
        <v>115565.52</v>
      </c>
      <c r="Q27" s="7" t="n">
        <f aca="false">IF(O27="",0,P27-J27)</f>
        <v>0</v>
      </c>
    </row>
    <row r="28" customFormat="false" ht="15" hidden="false" customHeight="false" outlineLevel="0" collapsed="false">
      <c r="A28" s="5" t="s">
        <v>597</v>
      </c>
      <c r="B28" s="5" t="s">
        <v>556</v>
      </c>
      <c r="C28" s="5" t="s">
        <v>76</v>
      </c>
      <c r="D28" s="5" t="s">
        <v>77</v>
      </c>
      <c r="E28" s="5" t="s">
        <v>535</v>
      </c>
      <c r="F28" s="5" t="s">
        <v>536</v>
      </c>
      <c r="G28" s="5" t="s">
        <v>551</v>
      </c>
      <c r="H28" s="5" t="s">
        <v>538</v>
      </c>
      <c r="I28" s="5" t="n">
        <v>100</v>
      </c>
      <c r="J28" s="7" t="n">
        <v>79002.7</v>
      </c>
      <c r="K28" s="7" t="n">
        <f aca="false">J28*I28/100</f>
        <v>79002.7</v>
      </c>
      <c r="L28" s="10" t="n">
        <v>46168</v>
      </c>
      <c r="M28" s="10" t="n">
        <v>46180</v>
      </c>
      <c r="N28" s="5"/>
      <c r="O28" s="5" t="s">
        <v>245</v>
      </c>
      <c r="P28" s="7" t="n">
        <f aca="false">SUMIFS('Sales Order Lines'!$L$2:$L$207,'Sales Order Lines'!$A$2:$A$207,O28)</f>
        <v>79002.7</v>
      </c>
      <c r="Q28" s="7" t="n">
        <f aca="false">IF(O28="",0,P28-J28)</f>
        <v>0</v>
      </c>
    </row>
    <row r="29" customFormat="false" ht="15" hidden="false" customHeight="false" outlineLevel="0" collapsed="false">
      <c r="A29" s="5" t="s">
        <v>598</v>
      </c>
      <c r="B29" s="5" t="s">
        <v>599</v>
      </c>
      <c r="C29" s="5" t="s">
        <v>83</v>
      </c>
      <c r="D29" s="5" t="s">
        <v>84</v>
      </c>
      <c r="E29" s="5" t="s">
        <v>541</v>
      </c>
      <c r="F29" s="5" t="s">
        <v>542</v>
      </c>
      <c r="G29" s="5" t="s">
        <v>566</v>
      </c>
      <c r="H29" s="5" t="s">
        <v>538</v>
      </c>
      <c r="I29" s="5" t="n">
        <v>100</v>
      </c>
      <c r="J29" s="7" t="n">
        <v>36110</v>
      </c>
      <c r="K29" s="7" t="n">
        <f aca="false">J29*I29/100</f>
        <v>36110</v>
      </c>
      <c r="L29" s="10" t="n">
        <v>46168</v>
      </c>
      <c r="M29" s="10" t="n">
        <v>46201</v>
      </c>
      <c r="N29" s="5"/>
      <c r="O29" s="5" t="s">
        <v>278</v>
      </c>
      <c r="P29" s="7" t="n">
        <f aca="false">SUMIFS('Sales Order Lines'!$L$2:$L$207,'Sales Order Lines'!$A$2:$A$207,O29)</f>
        <v>36110</v>
      </c>
      <c r="Q29" s="7" t="n">
        <f aca="false">IF(O29="",0,P29-J29)</f>
        <v>0</v>
      </c>
    </row>
    <row r="30" customFormat="false" ht="15" hidden="false" customHeight="false" outlineLevel="0" collapsed="false">
      <c r="A30" s="5" t="s">
        <v>600</v>
      </c>
      <c r="B30" s="5" t="s">
        <v>601</v>
      </c>
      <c r="C30" s="5" t="s">
        <v>97</v>
      </c>
      <c r="D30" s="5" t="s">
        <v>98</v>
      </c>
      <c r="E30" s="5" t="s">
        <v>535</v>
      </c>
      <c r="F30" s="5" t="s">
        <v>536</v>
      </c>
      <c r="G30" s="5" t="s">
        <v>566</v>
      </c>
      <c r="H30" s="5" t="s">
        <v>538</v>
      </c>
      <c r="I30" s="5" t="n">
        <v>100</v>
      </c>
      <c r="J30" s="7" t="n">
        <v>72318.75</v>
      </c>
      <c r="K30" s="7" t="n">
        <f aca="false">J30*I30/100</f>
        <v>72318.75</v>
      </c>
      <c r="L30" s="10" t="n">
        <v>46168</v>
      </c>
      <c r="M30" s="10" t="n">
        <v>46205</v>
      </c>
      <c r="N30" s="5"/>
      <c r="O30" s="5" t="s">
        <v>287</v>
      </c>
      <c r="P30" s="7" t="n">
        <f aca="false">SUMIFS('Sales Order Lines'!$L$2:$L$207,'Sales Order Lines'!$A$2:$A$207,O30)</f>
        <v>72318.75</v>
      </c>
      <c r="Q30" s="7" t="n">
        <f aca="false">IF(O30="",0,P30-J30)</f>
        <v>0</v>
      </c>
    </row>
    <row r="31" customFormat="false" ht="15" hidden="false" customHeight="false" outlineLevel="0" collapsed="false">
      <c r="A31" s="5" t="s">
        <v>602</v>
      </c>
      <c r="B31" s="5" t="s">
        <v>603</v>
      </c>
      <c r="C31" s="5" t="s">
        <v>62</v>
      </c>
      <c r="D31" s="5" t="s">
        <v>63</v>
      </c>
      <c r="E31" s="5" t="s">
        <v>541</v>
      </c>
      <c r="F31" s="5" t="s">
        <v>542</v>
      </c>
      <c r="G31" s="5" t="s">
        <v>566</v>
      </c>
      <c r="H31" s="5" t="s">
        <v>538</v>
      </c>
      <c r="I31" s="5" t="n">
        <v>100</v>
      </c>
      <c r="J31" s="7" t="n">
        <v>278778</v>
      </c>
      <c r="K31" s="7" t="n">
        <f aca="false">J31*I31/100</f>
        <v>278778</v>
      </c>
      <c r="L31" s="10" t="n">
        <v>46170</v>
      </c>
      <c r="M31" s="10" t="n">
        <v>46197</v>
      </c>
      <c r="N31" s="5"/>
      <c r="O31" s="5" t="s">
        <v>275</v>
      </c>
      <c r="P31" s="7" t="n">
        <f aca="false">SUMIFS('Sales Order Lines'!$L$2:$L$207,'Sales Order Lines'!$A$2:$A$207,O31)</f>
        <v>278778</v>
      </c>
      <c r="Q31" s="7" t="n">
        <f aca="false">IF(O31="",0,P31-J31)</f>
        <v>0</v>
      </c>
    </row>
    <row r="32" customFormat="false" ht="15" hidden="false" customHeight="false" outlineLevel="0" collapsed="false">
      <c r="A32" s="5" t="s">
        <v>604</v>
      </c>
      <c r="B32" s="5" t="s">
        <v>605</v>
      </c>
      <c r="C32" s="5" t="s">
        <v>111</v>
      </c>
      <c r="D32" s="5" t="s">
        <v>112</v>
      </c>
      <c r="E32" s="5" t="s">
        <v>535</v>
      </c>
      <c r="F32" s="5" t="s">
        <v>536</v>
      </c>
      <c r="G32" s="5" t="s">
        <v>546</v>
      </c>
      <c r="H32" s="5" t="s">
        <v>577</v>
      </c>
      <c r="I32" s="5" t="n">
        <v>0</v>
      </c>
      <c r="J32" s="7" t="n">
        <v>1037750</v>
      </c>
      <c r="K32" s="7" t="n">
        <f aca="false">J32*I32/100</f>
        <v>0</v>
      </c>
      <c r="L32" s="10" t="n">
        <v>46171</v>
      </c>
      <c r="M32" s="10" t="n">
        <v>46188</v>
      </c>
      <c r="N32" s="5" t="s">
        <v>578</v>
      </c>
      <c r="O32" s="5"/>
      <c r="P32" s="7" t="n">
        <v>0</v>
      </c>
      <c r="Q32" s="7" t="n">
        <f aca="false">IF(O32="",0,P32-J32)</f>
        <v>0</v>
      </c>
    </row>
    <row r="33" customFormat="false" ht="15" hidden="false" customHeight="false" outlineLevel="0" collapsed="false">
      <c r="A33" s="5" t="s">
        <v>606</v>
      </c>
      <c r="B33" s="5" t="s">
        <v>607</v>
      </c>
      <c r="C33" s="5" t="s">
        <v>38</v>
      </c>
      <c r="D33" s="5" t="s">
        <v>39</v>
      </c>
      <c r="E33" s="5" t="s">
        <v>535</v>
      </c>
      <c r="F33" s="5" t="s">
        <v>536</v>
      </c>
      <c r="G33" s="5" t="s">
        <v>559</v>
      </c>
      <c r="H33" s="5" t="s">
        <v>538</v>
      </c>
      <c r="I33" s="5" t="n">
        <v>100</v>
      </c>
      <c r="J33" s="7" t="n">
        <v>54484.9</v>
      </c>
      <c r="K33" s="7" t="n">
        <f aca="false">J33*I33/100</f>
        <v>54484.9</v>
      </c>
      <c r="L33" s="10" t="n">
        <v>46174</v>
      </c>
      <c r="M33" s="10" t="n">
        <v>46201</v>
      </c>
      <c r="N33" s="5"/>
      <c r="O33" s="5" t="s">
        <v>281</v>
      </c>
      <c r="P33" s="7" t="n">
        <f aca="false">SUMIFS('Sales Order Lines'!$L$2:$L$207,'Sales Order Lines'!$A$2:$A$207,O33)</f>
        <v>54484.9</v>
      </c>
      <c r="Q33" s="7" t="n">
        <f aca="false">IF(O33="",0,P33-J33)</f>
        <v>0</v>
      </c>
    </row>
    <row r="34" customFormat="false" ht="15" hidden="false" customHeight="false" outlineLevel="0" collapsed="false">
      <c r="A34" s="5" t="s">
        <v>608</v>
      </c>
      <c r="B34" s="5" t="s">
        <v>580</v>
      </c>
      <c r="C34" s="5" t="s">
        <v>83</v>
      </c>
      <c r="D34" s="5" t="s">
        <v>84</v>
      </c>
      <c r="E34" s="5" t="s">
        <v>541</v>
      </c>
      <c r="F34" s="5" t="s">
        <v>542</v>
      </c>
      <c r="G34" s="5" t="s">
        <v>543</v>
      </c>
      <c r="H34" s="5" t="s">
        <v>538</v>
      </c>
      <c r="I34" s="5" t="n">
        <v>100</v>
      </c>
      <c r="J34" s="7" t="n">
        <v>20060</v>
      </c>
      <c r="K34" s="7" t="n">
        <f aca="false">J34*I34/100</f>
        <v>20060</v>
      </c>
      <c r="L34" s="10" t="n">
        <v>46175</v>
      </c>
      <c r="M34" s="10" t="n">
        <v>46226</v>
      </c>
      <c r="N34" s="5"/>
      <c r="O34" s="5" t="s">
        <v>330</v>
      </c>
      <c r="P34" s="7" t="n">
        <f aca="false">SUMIFS('Sales Order Lines'!$L$2:$L$207,'Sales Order Lines'!$A$2:$A$207,O34)</f>
        <v>20060</v>
      </c>
      <c r="Q34" s="7" t="n">
        <f aca="false">IF(O34="",0,P34-J34)</f>
        <v>0</v>
      </c>
    </row>
    <row r="35" customFormat="false" ht="15" hidden="false" customHeight="false" outlineLevel="0" collapsed="false">
      <c r="A35" s="5" t="s">
        <v>609</v>
      </c>
      <c r="B35" s="5" t="s">
        <v>610</v>
      </c>
      <c r="C35" s="5" t="s">
        <v>62</v>
      </c>
      <c r="D35" s="5" t="s">
        <v>63</v>
      </c>
      <c r="E35" s="5" t="s">
        <v>541</v>
      </c>
      <c r="F35" s="5" t="s">
        <v>542</v>
      </c>
      <c r="G35" s="5" t="s">
        <v>566</v>
      </c>
      <c r="H35" s="5" t="s">
        <v>577</v>
      </c>
      <c r="I35" s="5" t="n">
        <v>0</v>
      </c>
      <c r="J35" s="7" t="n">
        <v>835000</v>
      </c>
      <c r="K35" s="7" t="n">
        <f aca="false">J35*I35/100</f>
        <v>0</v>
      </c>
      <c r="L35" s="10" t="n">
        <v>46178</v>
      </c>
      <c r="M35" s="10" t="n">
        <v>46205</v>
      </c>
      <c r="N35" s="5" t="s">
        <v>586</v>
      </c>
      <c r="O35" s="5"/>
      <c r="P35" s="7" t="n">
        <v>0</v>
      </c>
      <c r="Q35" s="7" t="n">
        <f aca="false">IF(O35="",0,P35-J35)</f>
        <v>0</v>
      </c>
    </row>
    <row r="36" customFormat="false" ht="15" hidden="false" customHeight="false" outlineLevel="0" collapsed="false">
      <c r="A36" s="5" t="s">
        <v>611</v>
      </c>
      <c r="B36" s="5" t="s">
        <v>612</v>
      </c>
      <c r="C36" s="5" t="s">
        <v>97</v>
      </c>
      <c r="D36" s="5" t="s">
        <v>98</v>
      </c>
      <c r="E36" s="5" t="s">
        <v>535</v>
      </c>
      <c r="F36" s="5" t="s">
        <v>536</v>
      </c>
      <c r="G36" s="5" t="s">
        <v>543</v>
      </c>
      <c r="H36" s="5" t="s">
        <v>538</v>
      </c>
      <c r="I36" s="5" t="n">
        <v>100</v>
      </c>
      <c r="J36" s="7" t="n">
        <v>80104</v>
      </c>
      <c r="K36" s="7" t="n">
        <f aca="false">J36*I36/100</f>
        <v>80104</v>
      </c>
      <c r="L36" s="10" t="n">
        <v>46179</v>
      </c>
      <c r="M36" s="10" t="n">
        <v>46202</v>
      </c>
      <c r="N36" s="5"/>
      <c r="O36" s="5" t="s">
        <v>284</v>
      </c>
      <c r="P36" s="7" t="n">
        <f aca="false">SUMIFS('Sales Order Lines'!$L$2:$L$207,'Sales Order Lines'!$A$2:$A$207,O36)</f>
        <v>80104</v>
      </c>
      <c r="Q36" s="7" t="n">
        <f aca="false">IF(O36="",0,P36-J36)</f>
        <v>0</v>
      </c>
    </row>
    <row r="37" customFormat="false" ht="15" hidden="false" customHeight="false" outlineLevel="0" collapsed="false">
      <c r="A37" s="5" t="s">
        <v>613</v>
      </c>
      <c r="B37" s="5" t="s">
        <v>614</v>
      </c>
      <c r="C37" s="5" t="s">
        <v>38</v>
      </c>
      <c r="D37" s="5" t="s">
        <v>39</v>
      </c>
      <c r="E37" s="5" t="s">
        <v>535</v>
      </c>
      <c r="F37" s="5" t="s">
        <v>536</v>
      </c>
      <c r="G37" s="5" t="s">
        <v>551</v>
      </c>
      <c r="H37" s="5" t="s">
        <v>538</v>
      </c>
      <c r="I37" s="5" t="n">
        <v>100</v>
      </c>
      <c r="J37" s="7" t="n">
        <v>80155.95</v>
      </c>
      <c r="K37" s="7" t="n">
        <f aca="false">J37*I37/100</f>
        <v>80155.95</v>
      </c>
      <c r="L37" s="10" t="n">
        <v>46180</v>
      </c>
      <c r="M37" s="10" t="n">
        <v>46223</v>
      </c>
      <c r="N37" s="5"/>
      <c r="O37" s="5" t="s">
        <v>324</v>
      </c>
      <c r="P37" s="7" t="n">
        <f aca="false">SUMIFS('Sales Order Lines'!$L$2:$L$207,'Sales Order Lines'!$A$2:$A$207,O37)</f>
        <v>80155.95</v>
      </c>
      <c r="Q37" s="7" t="n">
        <f aca="false">IF(O37="",0,P37-J37)</f>
        <v>0</v>
      </c>
    </row>
    <row r="38" customFormat="false" ht="15" hidden="false" customHeight="false" outlineLevel="0" collapsed="false">
      <c r="A38" s="5" t="s">
        <v>615</v>
      </c>
      <c r="B38" s="5" t="s">
        <v>594</v>
      </c>
      <c r="C38" s="5" t="s">
        <v>90</v>
      </c>
      <c r="D38" s="5" t="s">
        <v>91</v>
      </c>
      <c r="E38" s="5" t="s">
        <v>535</v>
      </c>
      <c r="F38" s="5" t="s">
        <v>536</v>
      </c>
      <c r="G38" s="5" t="s">
        <v>559</v>
      </c>
      <c r="H38" s="5" t="s">
        <v>538</v>
      </c>
      <c r="I38" s="5" t="n">
        <v>100</v>
      </c>
      <c r="J38" s="7" t="n">
        <v>72905</v>
      </c>
      <c r="K38" s="7" t="n">
        <f aca="false">J38*I38/100</f>
        <v>72905</v>
      </c>
      <c r="L38" s="10" t="n">
        <v>46180</v>
      </c>
      <c r="M38" s="10" t="n">
        <v>46215</v>
      </c>
      <c r="N38" s="5"/>
      <c r="O38" s="5" t="s">
        <v>309</v>
      </c>
      <c r="P38" s="7" t="n">
        <f aca="false">SUMIFS('Sales Order Lines'!$L$2:$L$207,'Sales Order Lines'!$A$2:$A$207,O38)</f>
        <v>72905</v>
      </c>
      <c r="Q38" s="7" t="n">
        <f aca="false">IF(O38="",0,P38-J38)</f>
        <v>0</v>
      </c>
    </row>
    <row r="39" customFormat="false" ht="15" hidden="false" customHeight="false" outlineLevel="0" collapsed="false">
      <c r="A39" s="5" t="s">
        <v>616</v>
      </c>
      <c r="B39" s="5" t="s">
        <v>617</v>
      </c>
      <c r="C39" s="5" t="s">
        <v>55</v>
      </c>
      <c r="D39" s="5" t="s">
        <v>56</v>
      </c>
      <c r="E39" s="5" t="s">
        <v>541</v>
      </c>
      <c r="F39" s="5" t="s">
        <v>542</v>
      </c>
      <c r="G39" s="5" t="s">
        <v>566</v>
      </c>
      <c r="H39" s="5" t="s">
        <v>538</v>
      </c>
      <c r="I39" s="5" t="n">
        <v>100</v>
      </c>
      <c r="J39" s="7" t="n">
        <v>114954</v>
      </c>
      <c r="K39" s="7" t="n">
        <f aca="false">J39*I39/100</f>
        <v>114954</v>
      </c>
      <c r="L39" s="10" t="n">
        <v>46182</v>
      </c>
      <c r="M39" s="10" t="n">
        <v>46189</v>
      </c>
      <c r="N39" s="5"/>
      <c r="O39" s="5" t="s">
        <v>266</v>
      </c>
      <c r="P39" s="7" t="n">
        <f aca="false">SUMIFS('Sales Order Lines'!$L$2:$L$207,'Sales Order Lines'!$A$2:$A$207,O39)</f>
        <v>114954</v>
      </c>
      <c r="Q39" s="7" t="n">
        <f aca="false">IF(O39="",0,P39-J39)</f>
        <v>0</v>
      </c>
    </row>
    <row r="40" customFormat="false" ht="15" hidden="false" customHeight="false" outlineLevel="0" collapsed="false">
      <c r="A40" s="5" t="s">
        <v>618</v>
      </c>
      <c r="B40" s="5" t="s">
        <v>619</v>
      </c>
      <c r="C40" s="5" t="s">
        <v>69</v>
      </c>
      <c r="D40" s="5" t="s">
        <v>70</v>
      </c>
      <c r="E40" s="5" t="s">
        <v>535</v>
      </c>
      <c r="F40" s="5" t="s">
        <v>536</v>
      </c>
      <c r="G40" s="5" t="s">
        <v>546</v>
      </c>
      <c r="H40" s="5" t="s">
        <v>538</v>
      </c>
      <c r="I40" s="5" t="n">
        <v>100</v>
      </c>
      <c r="J40" s="7" t="n">
        <v>159300</v>
      </c>
      <c r="K40" s="7" t="n">
        <f aca="false">J40*I40/100</f>
        <v>159300</v>
      </c>
      <c r="L40" s="10" t="n">
        <v>46185</v>
      </c>
      <c r="M40" s="10" t="n">
        <v>46211</v>
      </c>
      <c r="N40" s="5"/>
      <c r="O40" s="5" t="s">
        <v>303</v>
      </c>
      <c r="P40" s="7" t="n">
        <f aca="false">SUMIFS('Sales Order Lines'!$L$2:$L$207,'Sales Order Lines'!$A$2:$A$207,O40)</f>
        <v>159300</v>
      </c>
      <c r="Q40" s="7" t="n">
        <f aca="false">IF(O40="",0,P40-J40)</f>
        <v>0</v>
      </c>
    </row>
    <row r="41" customFormat="false" ht="15" hidden="false" customHeight="false" outlineLevel="0" collapsed="false">
      <c r="A41" s="5" t="s">
        <v>620</v>
      </c>
      <c r="B41" s="5" t="s">
        <v>621</v>
      </c>
      <c r="C41" s="5" t="s">
        <v>83</v>
      </c>
      <c r="D41" s="5" t="s">
        <v>84</v>
      </c>
      <c r="E41" s="5" t="s">
        <v>541</v>
      </c>
      <c r="F41" s="5" t="s">
        <v>542</v>
      </c>
      <c r="G41" s="5" t="s">
        <v>537</v>
      </c>
      <c r="H41" s="5" t="s">
        <v>577</v>
      </c>
      <c r="I41" s="5" t="n">
        <v>0</v>
      </c>
      <c r="J41" s="7" t="n">
        <v>124500</v>
      </c>
      <c r="K41" s="7" t="n">
        <f aca="false">J41*I41/100</f>
        <v>0</v>
      </c>
      <c r="L41" s="10" t="n">
        <v>46185</v>
      </c>
      <c r="M41" s="10" t="n">
        <v>46201</v>
      </c>
      <c r="N41" s="5" t="s">
        <v>589</v>
      </c>
      <c r="O41" s="5"/>
      <c r="P41" s="7" t="n">
        <v>0</v>
      </c>
      <c r="Q41" s="7" t="n">
        <f aca="false">IF(O41="",0,P41-J41)</f>
        <v>0</v>
      </c>
    </row>
    <row r="42" customFormat="false" ht="15" hidden="false" customHeight="false" outlineLevel="0" collapsed="false">
      <c r="A42" s="5" t="s">
        <v>622</v>
      </c>
      <c r="B42" s="5" t="s">
        <v>623</v>
      </c>
      <c r="C42" s="5" t="s">
        <v>118</v>
      </c>
      <c r="D42" s="5" t="s">
        <v>119</v>
      </c>
      <c r="E42" s="5" t="s">
        <v>535</v>
      </c>
      <c r="F42" s="5" t="s">
        <v>536</v>
      </c>
      <c r="G42" s="5" t="s">
        <v>559</v>
      </c>
      <c r="H42" s="5" t="s">
        <v>538</v>
      </c>
      <c r="I42" s="5" t="n">
        <v>100</v>
      </c>
      <c r="J42" s="7" t="n">
        <v>176460</v>
      </c>
      <c r="K42" s="7" t="n">
        <f aca="false">J42*I42/100</f>
        <v>176460</v>
      </c>
      <c r="L42" s="10" t="n">
        <v>46187</v>
      </c>
      <c r="M42" s="10" t="n">
        <v>46208</v>
      </c>
      <c r="N42" s="5"/>
      <c r="O42" s="5" t="s">
        <v>291</v>
      </c>
      <c r="P42" s="7" t="n">
        <f aca="false">SUMIFS('Sales Order Lines'!$L$2:$L$207,'Sales Order Lines'!$A$2:$A$207,O42)</f>
        <v>176460</v>
      </c>
      <c r="Q42" s="7" t="n">
        <f aca="false">IF(O42="",0,P42-J42)</f>
        <v>0</v>
      </c>
    </row>
    <row r="43" customFormat="false" ht="15" hidden="false" customHeight="false" outlineLevel="0" collapsed="false">
      <c r="A43" s="5" t="s">
        <v>624</v>
      </c>
      <c r="B43" s="5" t="s">
        <v>625</v>
      </c>
      <c r="C43" s="5" t="s">
        <v>76</v>
      </c>
      <c r="D43" s="5" t="s">
        <v>77</v>
      </c>
      <c r="E43" s="5" t="s">
        <v>535</v>
      </c>
      <c r="F43" s="5" t="s">
        <v>536</v>
      </c>
      <c r="G43" s="5" t="s">
        <v>537</v>
      </c>
      <c r="H43" s="5" t="s">
        <v>538</v>
      </c>
      <c r="I43" s="5" t="n">
        <v>100</v>
      </c>
      <c r="J43" s="7" t="n">
        <v>82109.3</v>
      </c>
      <c r="K43" s="7" t="n">
        <f aca="false">J43*I43/100</f>
        <v>82109.3</v>
      </c>
      <c r="L43" s="10" t="n">
        <v>46192</v>
      </c>
      <c r="M43" s="10" t="n">
        <v>46219</v>
      </c>
      <c r="N43" s="5"/>
      <c r="O43" s="5" t="s">
        <v>321</v>
      </c>
      <c r="P43" s="7" t="n">
        <f aca="false">SUMIFS('Sales Order Lines'!$L$2:$L$207,'Sales Order Lines'!$A$2:$A$207,O43)</f>
        <v>82109.3</v>
      </c>
      <c r="Q43" s="7" t="n">
        <f aca="false">IF(O43="",0,P43-J43)</f>
        <v>0</v>
      </c>
    </row>
    <row r="44" customFormat="false" ht="15" hidden="false" customHeight="false" outlineLevel="0" collapsed="false">
      <c r="A44" s="5" t="s">
        <v>626</v>
      </c>
      <c r="B44" s="5" t="s">
        <v>627</v>
      </c>
      <c r="C44" s="5" t="s">
        <v>118</v>
      </c>
      <c r="D44" s="5" t="s">
        <v>119</v>
      </c>
      <c r="E44" s="5" t="s">
        <v>535</v>
      </c>
      <c r="F44" s="5" t="s">
        <v>536</v>
      </c>
      <c r="G44" s="5" t="s">
        <v>559</v>
      </c>
      <c r="H44" s="5" t="s">
        <v>538</v>
      </c>
      <c r="I44" s="5" t="n">
        <v>100</v>
      </c>
      <c r="J44" s="7" t="n">
        <v>119090</v>
      </c>
      <c r="K44" s="7" t="n">
        <f aca="false">J44*I44/100</f>
        <v>119090</v>
      </c>
      <c r="L44" s="10" t="n">
        <v>46193</v>
      </c>
      <c r="M44" s="10" t="n">
        <v>46243</v>
      </c>
      <c r="N44" s="5"/>
      <c r="O44" s="5" t="s">
        <v>355</v>
      </c>
      <c r="P44" s="7" t="n">
        <f aca="false">SUMIFS('Sales Order Lines'!$L$2:$L$207,'Sales Order Lines'!$A$2:$A$207,O44)</f>
        <v>119090</v>
      </c>
      <c r="Q44" s="7" t="n">
        <f aca="false">IF(O44="",0,P44-J44)</f>
        <v>0</v>
      </c>
    </row>
    <row r="45" customFormat="false" ht="15" hidden="false" customHeight="false" outlineLevel="0" collapsed="false">
      <c r="A45" s="5" t="s">
        <v>628</v>
      </c>
      <c r="B45" s="5" t="s">
        <v>605</v>
      </c>
      <c r="C45" s="5" t="s">
        <v>111</v>
      </c>
      <c r="D45" s="5" t="s">
        <v>112</v>
      </c>
      <c r="E45" s="5" t="s">
        <v>535</v>
      </c>
      <c r="F45" s="5" t="s">
        <v>536</v>
      </c>
      <c r="G45" s="5" t="s">
        <v>566</v>
      </c>
      <c r="H45" s="5" t="s">
        <v>538</v>
      </c>
      <c r="I45" s="5" t="n">
        <v>100</v>
      </c>
      <c r="J45" s="7" t="n">
        <v>347375.7</v>
      </c>
      <c r="K45" s="7" t="n">
        <f aca="false">J45*I45/100</f>
        <v>347375.7</v>
      </c>
      <c r="L45" s="10" t="n">
        <v>46195</v>
      </c>
      <c r="M45" s="10" t="n">
        <v>46247</v>
      </c>
      <c r="N45" s="5"/>
      <c r="O45" s="5" t="s">
        <v>370</v>
      </c>
      <c r="P45" s="7" t="n">
        <f aca="false">SUMIFS('Sales Order Lines'!$L$2:$L$207,'Sales Order Lines'!$A$2:$A$207,O45)</f>
        <v>347375.7</v>
      </c>
      <c r="Q45" s="7" t="n">
        <f aca="false">IF(O45="",0,P45-J45)</f>
        <v>0</v>
      </c>
    </row>
    <row r="46" customFormat="false" ht="15" hidden="false" customHeight="false" outlineLevel="0" collapsed="false">
      <c r="A46" s="5" t="s">
        <v>629</v>
      </c>
      <c r="B46" s="5" t="s">
        <v>630</v>
      </c>
      <c r="C46" s="5" t="s">
        <v>38</v>
      </c>
      <c r="D46" s="5" t="s">
        <v>39</v>
      </c>
      <c r="E46" s="5" t="s">
        <v>535</v>
      </c>
      <c r="F46" s="5" t="s">
        <v>536</v>
      </c>
      <c r="G46" s="5" t="s">
        <v>546</v>
      </c>
      <c r="H46" s="5" t="s">
        <v>538</v>
      </c>
      <c r="I46" s="5" t="n">
        <v>100</v>
      </c>
      <c r="J46" s="7" t="n">
        <v>302601.2</v>
      </c>
      <c r="K46" s="7" t="n">
        <f aca="false">J46*I46/100</f>
        <v>302601.2</v>
      </c>
      <c r="L46" s="10" t="n">
        <v>46196</v>
      </c>
      <c r="M46" s="10" t="n">
        <v>46218</v>
      </c>
      <c r="N46" s="5"/>
      <c r="O46" s="5" t="s">
        <v>318</v>
      </c>
      <c r="P46" s="7" t="n">
        <f aca="false">SUMIFS('Sales Order Lines'!$L$2:$L$207,'Sales Order Lines'!$A$2:$A$207,O46)</f>
        <v>302601.2</v>
      </c>
      <c r="Q46" s="7" t="n">
        <f aca="false">IF(O46="",0,P46-J46)</f>
        <v>0</v>
      </c>
    </row>
    <row r="47" customFormat="false" ht="15" hidden="false" customHeight="false" outlineLevel="0" collapsed="false">
      <c r="A47" s="5" t="s">
        <v>631</v>
      </c>
      <c r="B47" s="5" t="s">
        <v>632</v>
      </c>
      <c r="C47" s="5" t="s">
        <v>55</v>
      </c>
      <c r="D47" s="5" t="s">
        <v>56</v>
      </c>
      <c r="E47" s="5" t="s">
        <v>541</v>
      </c>
      <c r="F47" s="5" t="s">
        <v>542</v>
      </c>
      <c r="G47" s="5" t="s">
        <v>537</v>
      </c>
      <c r="H47" s="5" t="s">
        <v>538</v>
      </c>
      <c r="I47" s="5" t="n">
        <v>100</v>
      </c>
      <c r="J47" s="7" t="n">
        <v>81604.6</v>
      </c>
      <c r="K47" s="7" t="n">
        <f aca="false">J47*I47/100</f>
        <v>81604.6</v>
      </c>
      <c r="L47" s="10" t="n">
        <v>46197</v>
      </c>
      <c r="M47" s="10" t="n">
        <v>46208</v>
      </c>
      <c r="N47" s="5"/>
      <c r="O47" s="5" t="s">
        <v>294</v>
      </c>
      <c r="P47" s="7" t="n">
        <f aca="false">SUMIFS('Sales Order Lines'!$L$2:$L$207,'Sales Order Lines'!$A$2:$A$207,O47)</f>
        <v>81604.6</v>
      </c>
      <c r="Q47" s="7" t="n">
        <f aca="false">IF(O47="",0,P47-J47)</f>
        <v>0</v>
      </c>
    </row>
    <row r="48" customFormat="false" ht="15" hidden="false" customHeight="false" outlineLevel="0" collapsed="false">
      <c r="A48" s="5" t="s">
        <v>633</v>
      </c>
      <c r="B48" s="5" t="s">
        <v>634</v>
      </c>
      <c r="C48" s="5" t="s">
        <v>69</v>
      </c>
      <c r="D48" s="5" t="s">
        <v>70</v>
      </c>
      <c r="E48" s="5" t="s">
        <v>535</v>
      </c>
      <c r="F48" s="5" t="s">
        <v>536</v>
      </c>
      <c r="G48" s="5" t="s">
        <v>546</v>
      </c>
      <c r="H48" s="5" t="s">
        <v>538</v>
      </c>
      <c r="I48" s="5" t="n">
        <v>100</v>
      </c>
      <c r="J48" s="7" t="n">
        <v>86600</v>
      </c>
      <c r="K48" s="7" t="n">
        <f aca="false">J48*I48/100</f>
        <v>86600</v>
      </c>
      <c r="L48" s="10" t="n">
        <v>46197</v>
      </c>
      <c r="M48" s="10" t="n">
        <v>46246</v>
      </c>
      <c r="N48" s="5"/>
      <c r="O48" s="5" t="s">
        <v>367</v>
      </c>
      <c r="P48" s="7" t="n">
        <f aca="false">SUMIFS('Sales Order Lines'!$L$2:$L$207,'Sales Order Lines'!$A$2:$A$207,O48)</f>
        <v>86600</v>
      </c>
      <c r="Q48" s="7" t="n">
        <f aca="false">IF(O48="",0,P48-J48)</f>
        <v>0</v>
      </c>
    </row>
    <row r="49" customFormat="false" ht="15" hidden="false" customHeight="false" outlineLevel="0" collapsed="false">
      <c r="A49" s="5" t="s">
        <v>635</v>
      </c>
      <c r="B49" s="5" t="s">
        <v>636</v>
      </c>
      <c r="C49" s="5" t="s">
        <v>83</v>
      </c>
      <c r="D49" s="5" t="s">
        <v>84</v>
      </c>
      <c r="E49" s="5" t="s">
        <v>541</v>
      </c>
      <c r="F49" s="5" t="s">
        <v>542</v>
      </c>
      <c r="G49" s="5" t="s">
        <v>566</v>
      </c>
      <c r="H49" s="5" t="s">
        <v>538</v>
      </c>
      <c r="I49" s="5" t="n">
        <v>100</v>
      </c>
      <c r="J49" s="7" t="n">
        <v>23125000</v>
      </c>
      <c r="K49" s="7" t="n">
        <f aca="false">J49*I49/100</f>
        <v>23125000</v>
      </c>
      <c r="L49" s="10" t="n">
        <v>46200</v>
      </c>
      <c r="M49" s="10" t="n">
        <v>46243</v>
      </c>
      <c r="N49" s="5"/>
      <c r="O49" s="5" t="s">
        <v>358</v>
      </c>
      <c r="P49" s="7" t="n">
        <f aca="false">SUMIFS('Sales Order Lines'!$L$2:$L$207,'Sales Order Lines'!$A$2:$A$207,O49)</f>
        <v>23125000</v>
      </c>
      <c r="Q49" s="7" t="n">
        <f aca="false">IF(O49="",0,P49-J49)</f>
        <v>0</v>
      </c>
    </row>
    <row r="50" customFormat="false" ht="15" hidden="false" customHeight="false" outlineLevel="0" collapsed="false">
      <c r="A50" s="5" t="s">
        <v>637</v>
      </c>
      <c r="B50" s="5" t="s">
        <v>638</v>
      </c>
      <c r="C50" s="5" t="s">
        <v>55</v>
      </c>
      <c r="D50" s="5" t="s">
        <v>56</v>
      </c>
      <c r="E50" s="5" t="s">
        <v>541</v>
      </c>
      <c r="F50" s="5" t="s">
        <v>542</v>
      </c>
      <c r="G50" s="5" t="s">
        <v>537</v>
      </c>
      <c r="H50" s="5" t="s">
        <v>538</v>
      </c>
      <c r="I50" s="5" t="n">
        <v>100</v>
      </c>
      <c r="J50" s="7" t="n">
        <v>329417.2</v>
      </c>
      <c r="K50" s="7" t="n">
        <f aca="false">J50*I50/100</f>
        <v>329417.2</v>
      </c>
      <c r="L50" s="10" t="n">
        <v>46202</v>
      </c>
      <c r="M50" s="10" t="n">
        <v>46239</v>
      </c>
      <c r="N50" s="5"/>
      <c r="O50" s="5" t="s">
        <v>349</v>
      </c>
      <c r="P50" s="7" t="n">
        <f aca="false">SUMIFS('Sales Order Lines'!$L$2:$L$207,'Sales Order Lines'!$A$2:$A$207,O50)</f>
        <v>329417.2</v>
      </c>
      <c r="Q50" s="7" t="n">
        <f aca="false">IF(O50="",0,P50-J50)</f>
        <v>0</v>
      </c>
    </row>
    <row r="51" customFormat="false" ht="15" hidden="false" customHeight="false" outlineLevel="0" collapsed="false">
      <c r="A51" s="5" t="s">
        <v>639</v>
      </c>
      <c r="B51" s="5" t="s">
        <v>640</v>
      </c>
      <c r="C51" s="5" t="s">
        <v>47</v>
      </c>
      <c r="D51" s="5" t="s">
        <v>48</v>
      </c>
      <c r="E51" s="5" t="s">
        <v>541</v>
      </c>
      <c r="F51" s="5" t="s">
        <v>542</v>
      </c>
      <c r="G51" s="5" t="s">
        <v>537</v>
      </c>
      <c r="H51" s="5" t="s">
        <v>538</v>
      </c>
      <c r="I51" s="5" t="n">
        <v>100</v>
      </c>
      <c r="J51" s="7" t="n">
        <v>85282.4</v>
      </c>
      <c r="K51" s="7" t="n">
        <f aca="false">J51*I51/100</f>
        <v>85282.4</v>
      </c>
      <c r="L51" s="10" t="n">
        <v>46203</v>
      </c>
      <c r="M51" s="10" t="n">
        <v>46233</v>
      </c>
      <c r="N51" s="5"/>
      <c r="O51" s="5" t="s">
        <v>342</v>
      </c>
      <c r="P51" s="7" t="n">
        <f aca="false">SUMIFS('Sales Order Lines'!$L$2:$L$207,'Sales Order Lines'!$A$2:$A$207,O51)</f>
        <v>85282.4</v>
      </c>
      <c r="Q51" s="7" t="n">
        <f aca="false">IF(O51="",0,P51-J51)</f>
        <v>0</v>
      </c>
    </row>
    <row r="52" customFormat="false" ht="15" hidden="false" customHeight="false" outlineLevel="0" collapsed="false">
      <c r="A52" s="5" t="s">
        <v>641</v>
      </c>
      <c r="B52" s="5" t="s">
        <v>642</v>
      </c>
      <c r="C52" s="5" t="s">
        <v>104</v>
      </c>
      <c r="D52" s="5" t="s">
        <v>105</v>
      </c>
      <c r="E52" s="5" t="s">
        <v>562</v>
      </c>
      <c r="F52" s="5" t="s">
        <v>563</v>
      </c>
      <c r="G52" s="5" t="s">
        <v>546</v>
      </c>
      <c r="H52" s="5" t="s">
        <v>538</v>
      </c>
      <c r="I52" s="5" t="n">
        <v>100</v>
      </c>
      <c r="J52" s="7" t="n">
        <v>226361.14</v>
      </c>
      <c r="K52" s="7" t="n">
        <f aca="false">J52*I52/100</f>
        <v>226361.14</v>
      </c>
      <c r="L52" s="10" t="n">
        <v>46204</v>
      </c>
      <c r="M52" s="10" t="n">
        <v>46231</v>
      </c>
      <c r="N52" s="5"/>
      <c r="O52" s="5" t="s">
        <v>333</v>
      </c>
      <c r="P52" s="7" t="n">
        <f aca="false">SUMIFS('Sales Order Lines'!$L$2:$L$207,'Sales Order Lines'!$A$2:$A$207,O52)</f>
        <v>226361.14</v>
      </c>
      <c r="Q52" s="7" t="n">
        <f aca="false">IF(O52="",0,P52-J52)</f>
        <v>0</v>
      </c>
    </row>
    <row r="53" customFormat="false" ht="15" hidden="false" customHeight="false" outlineLevel="0" collapsed="false">
      <c r="A53" s="5" t="s">
        <v>643</v>
      </c>
      <c r="B53" s="5" t="s">
        <v>644</v>
      </c>
      <c r="C53" s="5" t="s">
        <v>118</v>
      </c>
      <c r="D53" s="5" t="s">
        <v>119</v>
      </c>
      <c r="E53" s="5" t="s">
        <v>535</v>
      </c>
      <c r="F53" s="5" t="s">
        <v>536</v>
      </c>
      <c r="G53" s="5" t="s">
        <v>543</v>
      </c>
      <c r="H53" s="5" t="s">
        <v>577</v>
      </c>
      <c r="I53" s="5" t="n">
        <v>0</v>
      </c>
      <c r="J53" s="7" t="n">
        <v>42090</v>
      </c>
      <c r="K53" s="7" t="n">
        <f aca="false">J53*I53/100</f>
        <v>0</v>
      </c>
      <c r="L53" s="10" t="n">
        <v>46206</v>
      </c>
      <c r="M53" s="10" t="n">
        <v>46250</v>
      </c>
      <c r="N53" s="5" t="s">
        <v>589</v>
      </c>
      <c r="O53" s="5"/>
      <c r="P53" s="7" t="n">
        <v>0</v>
      </c>
      <c r="Q53" s="7" t="n">
        <f aca="false">IF(O53="",0,P53-J53)</f>
        <v>0</v>
      </c>
    </row>
    <row r="54" customFormat="false" ht="15" hidden="false" customHeight="false" outlineLevel="0" collapsed="false">
      <c r="A54" s="5" t="s">
        <v>645</v>
      </c>
      <c r="B54" s="5" t="s">
        <v>646</v>
      </c>
      <c r="C54" s="5" t="s">
        <v>111</v>
      </c>
      <c r="D54" s="5" t="s">
        <v>112</v>
      </c>
      <c r="E54" s="5" t="s">
        <v>535</v>
      </c>
      <c r="F54" s="5" t="s">
        <v>536</v>
      </c>
      <c r="G54" s="5" t="s">
        <v>546</v>
      </c>
      <c r="H54" s="5" t="s">
        <v>577</v>
      </c>
      <c r="I54" s="5" t="n">
        <v>0</v>
      </c>
      <c r="J54" s="7" t="n">
        <v>49640</v>
      </c>
      <c r="K54" s="7" t="n">
        <f aca="false">J54*I54/100</f>
        <v>0</v>
      </c>
      <c r="L54" s="10" t="n">
        <v>46207</v>
      </c>
      <c r="M54" s="10" t="n">
        <v>46250</v>
      </c>
      <c r="N54" s="5" t="s">
        <v>589</v>
      </c>
      <c r="O54" s="5"/>
      <c r="P54" s="7" t="n">
        <v>0</v>
      </c>
      <c r="Q54" s="7" t="n">
        <f aca="false">IF(O54="",0,P54-J54)</f>
        <v>0</v>
      </c>
    </row>
    <row r="55" customFormat="false" ht="15" hidden="false" customHeight="false" outlineLevel="0" collapsed="false">
      <c r="A55" s="5" t="s">
        <v>647</v>
      </c>
      <c r="B55" s="5" t="s">
        <v>550</v>
      </c>
      <c r="C55" s="5" t="s">
        <v>62</v>
      </c>
      <c r="D55" s="5" t="s">
        <v>63</v>
      </c>
      <c r="E55" s="5" t="s">
        <v>541</v>
      </c>
      <c r="F55" s="5" t="s">
        <v>542</v>
      </c>
      <c r="G55" s="5" t="s">
        <v>566</v>
      </c>
      <c r="H55" s="5" t="s">
        <v>538</v>
      </c>
      <c r="I55" s="5" t="n">
        <v>100</v>
      </c>
      <c r="J55" s="7" t="n">
        <v>327316.8</v>
      </c>
      <c r="K55" s="7" t="n">
        <f aca="false">J55*I55/100</f>
        <v>327316.8</v>
      </c>
      <c r="L55" s="10" t="n">
        <v>46209</v>
      </c>
      <c r="M55" s="10" t="n">
        <v>46260</v>
      </c>
      <c r="N55" s="5"/>
      <c r="O55" s="5" t="s">
        <v>391</v>
      </c>
      <c r="P55" s="7" t="n">
        <f aca="false">SUMIFS('Sales Order Lines'!$L$2:$L$207,'Sales Order Lines'!$A$2:$A$207,O55)</f>
        <v>327316.8</v>
      </c>
      <c r="Q55" s="7" t="n">
        <f aca="false">IF(O55="",0,P55-J55)</f>
        <v>0</v>
      </c>
    </row>
    <row r="56" customFormat="false" ht="15" hidden="false" customHeight="false" outlineLevel="0" collapsed="false">
      <c r="A56" s="5" t="s">
        <v>648</v>
      </c>
      <c r="B56" s="5" t="s">
        <v>550</v>
      </c>
      <c r="C56" s="5" t="s">
        <v>62</v>
      </c>
      <c r="D56" s="5" t="s">
        <v>63</v>
      </c>
      <c r="E56" s="5" t="s">
        <v>541</v>
      </c>
      <c r="F56" s="5" t="s">
        <v>542</v>
      </c>
      <c r="G56" s="5" t="s">
        <v>551</v>
      </c>
      <c r="H56" s="5" t="s">
        <v>538</v>
      </c>
      <c r="I56" s="5" t="n">
        <v>100</v>
      </c>
      <c r="J56" s="7" t="n">
        <v>165389.85</v>
      </c>
      <c r="K56" s="7" t="n">
        <f aca="false">J56*I56/100</f>
        <v>165389.85</v>
      </c>
      <c r="L56" s="10" t="n">
        <v>46210</v>
      </c>
      <c r="M56" s="10" t="n">
        <v>46216</v>
      </c>
      <c r="N56" s="5"/>
      <c r="O56" s="5" t="s">
        <v>312</v>
      </c>
      <c r="P56" s="7" t="n">
        <f aca="false">SUMIFS('Sales Order Lines'!$L$2:$L$207,'Sales Order Lines'!$A$2:$A$207,O56)</f>
        <v>165389.85</v>
      </c>
      <c r="Q56" s="7" t="n">
        <f aca="false">IF(O56="",0,P56-J56)</f>
        <v>0</v>
      </c>
    </row>
    <row r="57" customFormat="false" ht="15" hidden="false" customHeight="false" outlineLevel="0" collapsed="false">
      <c r="A57" s="5" t="s">
        <v>649</v>
      </c>
      <c r="B57" s="5" t="s">
        <v>650</v>
      </c>
      <c r="C57" s="5" t="s">
        <v>104</v>
      </c>
      <c r="D57" s="5" t="s">
        <v>105</v>
      </c>
      <c r="E57" s="5" t="s">
        <v>562</v>
      </c>
      <c r="F57" s="5" t="s">
        <v>563</v>
      </c>
      <c r="G57" s="5" t="s">
        <v>543</v>
      </c>
      <c r="H57" s="5" t="s">
        <v>538</v>
      </c>
      <c r="I57" s="5" t="n">
        <v>100</v>
      </c>
      <c r="J57" s="7" t="n">
        <v>83875.9</v>
      </c>
      <c r="K57" s="7" t="n">
        <f aca="false">J57*I57/100</f>
        <v>83875.9</v>
      </c>
      <c r="L57" s="10" t="n">
        <v>46214</v>
      </c>
      <c r="M57" s="10" t="n">
        <v>46253</v>
      </c>
      <c r="N57" s="5"/>
      <c r="O57" s="5" t="s">
        <v>379</v>
      </c>
      <c r="P57" s="7" t="n">
        <f aca="false">SUMIFS('Sales Order Lines'!$L$2:$L$207,'Sales Order Lines'!$A$2:$A$207,O57)</f>
        <v>83875.9</v>
      </c>
      <c r="Q57" s="7" t="n">
        <f aca="false">IF(O57="",0,P57-J57)</f>
        <v>0</v>
      </c>
    </row>
    <row r="58" customFormat="false" ht="15" hidden="false" customHeight="false" outlineLevel="0" collapsed="false">
      <c r="A58" s="5" t="s">
        <v>651</v>
      </c>
      <c r="B58" s="5" t="s">
        <v>652</v>
      </c>
      <c r="C58" s="5" t="s">
        <v>97</v>
      </c>
      <c r="D58" s="5" t="s">
        <v>98</v>
      </c>
      <c r="E58" s="5" t="s">
        <v>535</v>
      </c>
      <c r="F58" s="5" t="s">
        <v>536</v>
      </c>
      <c r="G58" s="5" t="s">
        <v>537</v>
      </c>
      <c r="H58" s="5" t="s">
        <v>577</v>
      </c>
      <c r="I58" s="5" t="n">
        <v>0</v>
      </c>
      <c r="J58" s="7" t="n">
        <v>104355</v>
      </c>
      <c r="K58" s="7" t="n">
        <f aca="false">J58*I58/100</f>
        <v>0</v>
      </c>
      <c r="L58" s="10" t="n">
        <v>46216</v>
      </c>
      <c r="M58" s="10" t="n">
        <v>46261</v>
      </c>
      <c r="N58" s="5" t="s">
        <v>589</v>
      </c>
      <c r="O58" s="5"/>
      <c r="P58" s="7" t="n">
        <v>0</v>
      </c>
      <c r="Q58" s="7" t="n">
        <f aca="false">IF(O58="",0,P58-J58)</f>
        <v>0</v>
      </c>
    </row>
    <row r="59" customFormat="false" ht="15" hidden="false" customHeight="false" outlineLevel="0" collapsed="false">
      <c r="A59" s="5" t="s">
        <v>653</v>
      </c>
      <c r="B59" s="5" t="s">
        <v>654</v>
      </c>
      <c r="C59" s="5" t="s">
        <v>97</v>
      </c>
      <c r="D59" s="5" t="s">
        <v>98</v>
      </c>
      <c r="E59" s="5" t="s">
        <v>535</v>
      </c>
      <c r="F59" s="5" t="s">
        <v>536</v>
      </c>
      <c r="G59" s="5" t="s">
        <v>566</v>
      </c>
      <c r="H59" s="5" t="s">
        <v>538</v>
      </c>
      <c r="I59" s="5" t="n">
        <v>100</v>
      </c>
      <c r="J59" s="7" t="n">
        <v>134045</v>
      </c>
      <c r="K59" s="7" t="n">
        <f aca="false">J59*I59/100</f>
        <v>134045</v>
      </c>
      <c r="L59" s="10" t="n">
        <v>46221</v>
      </c>
      <c r="M59" s="10" t="n">
        <v>46251</v>
      </c>
      <c r="N59" s="5"/>
      <c r="O59" s="5" t="s">
        <v>373</v>
      </c>
      <c r="P59" s="7" t="n">
        <f aca="false">SUMIFS('Sales Order Lines'!$L$2:$L$207,'Sales Order Lines'!$A$2:$A$207,O59)</f>
        <v>134045</v>
      </c>
      <c r="Q59" s="7" t="n">
        <f aca="false">IF(O59="",0,P59-J59)</f>
        <v>0</v>
      </c>
    </row>
    <row r="60" customFormat="false" ht="15" hidden="false" customHeight="false" outlineLevel="0" collapsed="false">
      <c r="A60" s="5" t="s">
        <v>655</v>
      </c>
      <c r="B60" s="5" t="s">
        <v>588</v>
      </c>
      <c r="C60" s="5" t="s">
        <v>83</v>
      </c>
      <c r="D60" s="5" t="s">
        <v>84</v>
      </c>
      <c r="E60" s="5" t="s">
        <v>541</v>
      </c>
      <c r="F60" s="5" t="s">
        <v>542</v>
      </c>
      <c r="G60" s="5" t="s">
        <v>559</v>
      </c>
      <c r="H60" s="5" t="s">
        <v>538</v>
      </c>
      <c r="I60" s="5" t="n">
        <v>100</v>
      </c>
      <c r="J60" s="7" t="n">
        <v>100026</v>
      </c>
      <c r="K60" s="7" t="n">
        <f aca="false">J60*I60/100</f>
        <v>100026</v>
      </c>
      <c r="L60" s="10" t="n">
        <v>46222</v>
      </c>
      <c r="M60" s="10" t="n">
        <v>46265</v>
      </c>
      <c r="N60" s="5"/>
      <c r="O60" s="5" t="s">
        <v>397</v>
      </c>
      <c r="P60" s="7" t="n">
        <f aca="false">SUMIFS('Sales Order Lines'!$L$2:$L$207,'Sales Order Lines'!$A$2:$A$207,O60)</f>
        <v>100026</v>
      </c>
      <c r="Q60" s="7" t="n">
        <f aca="false">IF(O60="",0,P60-J60)</f>
        <v>0</v>
      </c>
    </row>
    <row r="61" customFormat="false" ht="15" hidden="false" customHeight="false" outlineLevel="0" collapsed="false">
      <c r="A61" s="5" t="s">
        <v>656</v>
      </c>
      <c r="B61" s="5" t="s">
        <v>556</v>
      </c>
      <c r="C61" s="5" t="s">
        <v>76</v>
      </c>
      <c r="D61" s="5" t="s">
        <v>77</v>
      </c>
      <c r="E61" s="5" t="s">
        <v>535</v>
      </c>
      <c r="F61" s="5" t="s">
        <v>536</v>
      </c>
      <c r="G61" s="5" t="s">
        <v>566</v>
      </c>
      <c r="H61" s="5" t="s">
        <v>538</v>
      </c>
      <c r="I61" s="5" t="n">
        <v>100</v>
      </c>
      <c r="J61" s="7" t="n">
        <v>111901.3</v>
      </c>
      <c r="K61" s="7" t="n">
        <f aca="false">J61*I61/100</f>
        <v>111901.3</v>
      </c>
      <c r="L61" s="10" t="n">
        <v>46225</v>
      </c>
      <c r="M61" s="10" t="n">
        <v>46240</v>
      </c>
      <c r="N61" s="5"/>
      <c r="O61" s="5" t="s">
        <v>352</v>
      </c>
      <c r="P61" s="7" t="n">
        <f aca="false">SUMIFS('Sales Order Lines'!$L$2:$L$207,'Sales Order Lines'!$A$2:$A$207,O61)</f>
        <v>111901.3</v>
      </c>
      <c r="Q61" s="7" t="n">
        <f aca="false">IF(O61="",0,P61-J61)</f>
        <v>0</v>
      </c>
    </row>
    <row r="62" customFormat="false" ht="15" hidden="false" customHeight="false" outlineLevel="0" collapsed="false">
      <c r="A62" s="5" t="s">
        <v>657</v>
      </c>
      <c r="B62" s="5" t="s">
        <v>658</v>
      </c>
      <c r="C62" s="5" t="s">
        <v>90</v>
      </c>
      <c r="D62" s="5" t="s">
        <v>91</v>
      </c>
      <c r="E62" s="5" t="s">
        <v>535</v>
      </c>
      <c r="F62" s="5" t="s">
        <v>536</v>
      </c>
      <c r="G62" s="5" t="s">
        <v>537</v>
      </c>
      <c r="H62" s="5" t="s">
        <v>538</v>
      </c>
      <c r="I62" s="5" t="n">
        <v>100</v>
      </c>
      <c r="J62" s="7" t="n">
        <v>136910</v>
      </c>
      <c r="K62" s="7" t="n">
        <f aca="false">J62*I62/100</f>
        <v>136910</v>
      </c>
      <c r="L62" s="10" t="n">
        <v>46228</v>
      </c>
      <c r="M62" s="10" t="n">
        <v>46258</v>
      </c>
      <c r="N62" s="5"/>
      <c r="O62" s="5" t="s">
        <v>388</v>
      </c>
      <c r="P62" s="7" t="n">
        <f aca="false">SUMIFS('Sales Order Lines'!$L$2:$L$207,'Sales Order Lines'!$A$2:$A$207,O62)</f>
        <v>136910</v>
      </c>
      <c r="Q62" s="7" t="n">
        <f aca="false">IF(O62="",0,P62-J62)</f>
        <v>0</v>
      </c>
    </row>
    <row r="63" customFormat="false" ht="15" hidden="false" customHeight="false" outlineLevel="0" collapsed="false">
      <c r="A63" s="5" t="s">
        <v>659</v>
      </c>
      <c r="B63" s="5" t="s">
        <v>594</v>
      </c>
      <c r="C63" s="5" t="s">
        <v>90</v>
      </c>
      <c r="D63" s="5" t="s">
        <v>91</v>
      </c>
      <c r="E63" s="5" t="s">
        <v>535</v>
      </c>
      <c r="F63" s="5" t="s">
        <v>536</v>
      </c>
      <c r="G63" s="5" t="s">
        <v>543</v>
      </c>
      <c r="H63" s="5" t="s">
        <v>538</v>
      </c>
      <c r="I63" s="5" t="n">
        <v>100</v>
      </c>
      <c r="J63" s="7" t="n">
        <v>121155</v>
      </c>
      <c r="K63" s="7" t="n">
        <f aca="false">J63*I63/100</f>
        <v>121155</v>
      </c>
      <c r="L63" s="10" t="n">
        <v>46229</v>
      </c>
      <c r="M63" s="10" t="n">
        <v>46279</v>
      </c>
      <c r="N63" s="5"/>
      <c r="O63" s="5" t="s">
        <v>419</v>
      </c>
      <c r="P63" s="7" t="n">
        <f aca="false">SUMIFS('Sales Order Lines'!$L$2:$L$207,'Sales Order Lines'!$A$2:$A$207,O63)</f>
        <v>121155</v>
      </c>
      <c r="Q63" s="7" t="n">
        <f aca="false">IF(O63="",0,P63-J63)</f>
        <v>0</v>
      </c>
    </row>
    <row r="64" customFormat="false" ht="15" hidden="false" customHeight="false" outlineLevel="0" collapsed="false">
      <c r="A64" s="5" t="s">
        <v>660</v>
      </c>
      <c r="B64" s="5" t="s">
        <v>661</v>
      </c>
      <c r="C64" s="5" t="s">
        <v>69</v>
      </c>
      <c r="D64" s="5" t="s">
        <v>70</v>
      </c>
      <c r="E64" s="5" t="s">
        <v>535</v>
      </c>
      <c r="F64" s="5" t="s">
        <v>536</v>
      </c>
      <c r="G64" s="5" t="s">
        <v>537</v>
      </c>
      <c r="H64" s="5" t="s">
        <v>577</v>
      </c>
      <c r="I64" s="5" t="n">
        <v>0</v>
      </c>
      <c r="J64" s="7" t="n">
        <v>66640</v>
      </c>
      <c r="K64" s="7" t="n">
        <f aca="false">J64*I64/100</f>
        <v>0</v>
      </c>
      <c r="L64" s="10" t="n">
        <v>46231</v>
      </c>
      <c r="M64" s="10" t="n">
        <v>46270</v>
      </c>
      <c r="N64" s="5" t="s">
        <v>586</v>
      </c>
      <c r="O64" s="5"/>
      <c r="P64" s="7" t="n">
        <v>0</v>
      </c>
      <c r="Q64" s="7" t="n">
        <f aca="false">IF(O64="",0,P64-J64)</f>
        <v>0</v>
      </c>
    </row>
    <row r="65" customFormat="false" ht="15" hidden="false" customHeight="false" outlineLevel="0" collapsed="false">
      <c r="A65" s="5" t="s">
        <v>662</v>
      </c>
      <c r="B65" s="5" t="s">
        <v>663</v>
      </c>
      <c r="C65" s="5" t="s">
        <v>90</v>
      </c>
      <c r="D65" s="5" t="s">
        <v>91</v>
      </c>
      <c r="E65" s="5" t="s">
        <v>535</v>
      </c>
      <c r="F65" s="5" t="s">
        <v>536</v>
      </c>
      <c r="G65" s="5" t="s">
        <v>537</v>
      </c>
      <c r="H65" s="5" t="s">
        <v>664</v>
      </c>
      <c r="I65" s="5" t="n">
        <v>10</v>
      </c>
      <c r="J65" s="7" t="n">
        <v>547600</v>
      </c>
      <c r="K65" s="7" t="n">
        <f aca="false">J65*I65/100</f>
        <v>54760</v>
      </c>
      <c r="L65" s="10" t="n">
        <v>46234</v>
      </c>
      <c r="M65" s="10" t="n">
        <v>46312</v>
      </c>
      <c r="N65" s="5"/>
      <c r="O65" s="5"/>
      <c r="P65" s="7" t="n">
        <v>0</v>
      </c>
      <c r="Q65" s="7" t="n">
        <f aca="false">IF(O65="",0,P65-J65)</f>
        <v>0</v>
      </c>
    </row>
    <row r="66" customFormat="false" ht="15" hidden="false" customHeight="false" outlineLevel="0" collapsed="false">
      <c r="A66" s="5" t="s">
        <v>665</v>
      </c>
      <c r="B66" s="5" t="s">
        <v>666</v>
      </c>
      <c r="C66" s="5" t="s">
        <v>104</v>
      </c>
      <c r="D66" s="5" t="s">
        <v>105</v>
      </c>
      <c r="E66" s="5" t="s">
        <v>562</v>
      </c>
      <c r="F66" s="5" t="s">
        <v>563</v>
      </c>
      <c r="G66" s="5" t="s">
        <v>551</v>
      </c>
      <c r="H66" s="5" t="s">
        <v>538</v>
      </c>
      <c r="I66" s="5" t="n">
        <v>100</v>
      </c>
      <c r="J66" s="7" t="n">
        <v>183320.3</v>
      </c>
      <c r="K66" s="7" t="n">
        <f aca="false">J66*I66/100</f>
        <v>183320.3</v>
      </c>
      <c r="L66" s="10" t="n">
        <v>46234</v>
      </c>
      <c r="M66" s="10" t="n">
        <v>46279</v>
      </c>
      <c r="N66" s="5"/>
      <c r="O66" s="5" t="s">
        <v>423</v>
      </c>
      <c r="P66" s="7" t="n">
        <f aca="false">SUMIFS('Sales Order Lines'!$L$2:$L$207,'Sales Order Lines'!$A$2:$A$207,O66)</f>
        <v>183320.3</v>
      </c>
      <c r="Q66" s="7" t="n">
        <f aca="false">IF(O66="",0,P66-J66)</f>
        <v>0</v>
      </c>
    </row>
    <row r="67" customFormat="false" ht="15" hidden="false" customHeight="false" outlineLevel="0" collapsed="false">
      <c r="A67" s="5" t="s">
        <v>667</v>
      </c>
      <c r="B67" s="5" t="s">
        <v>630</v>
      </c>
      <c r="C67" s="5" t="s">
        <v>38</v>
      </c>
      <c r="D67" s="5" t="s">
        <v>39</v>
      </c>
      <c r="E67" s="5" t="s">
        <v>535</v>
      </c>
      <c r="F67" s="5" t="s">
        <v>536</v>
      </c>
      <c r="G67" s="5" t="s">
        <v>566</v>
      </c>
      <c r="H67" s="5" t="s">
        <v>538</v>
      </c>
      <c r="I67" s="5" t="n">
        <v>100</v>
      </c>
      <c r="J67" s="7" t="n">
        <v>153745</v>
      </c>
      <c r="K67" s="7" t="n">
        <f aca="false">J67*I67/100</f>
        <v>153745</v>
      </c>
      <c r="L67" s="10" t="n">
        <v>46235</v>
      </c>
      <c r="M67" s="10" t="n">
        <v>46254</v>
      </c>
      <c r="N67" s="5"/>
      <c r="O67" s="5" t="s">
        <v>385</v>
      </c>
      <c r="P67" s="7" t="n">
        <f aca="false">SUMIFS('Sales Order Lines'!$L$2:$L$207,'Sales Order Lines'!$A$2:$A$207,O67)</f>
        <v>153745</v>
      </c>
      <c r="Q67" s="7" t="n">
        <f aca="false">IF(O67="",0,P67-J67)</f>
        <v>0</v>
      </c>
    </row>
    <row r="68" customFormat="false" ht="15" hidden="false" customHeight="false" outlineLevel="0" collapsed="false">
      <c r="A68" s="5" t="s">
        <v>668</v>
      </c>
      <c r="B68" s="5" t="s">
        <v>669</v>
      </c>
      <c r="C68" s="5" t="s">
        <v>47</v>
      </c>
      <c r="D68" s="5" t="s">
        <v>48</v>
      </c>
      <c r="E68" s="5" t="s">
        <v>541</v>
      </c>
      <c r="F68" s="5" t="s">
        <v>542</v>
      </c>
      <c r="G68" s="5" t="s">
        <v>543</v>
      </c>
      <c r="H68" s="5" t="s">
        <v>670</v>
      </c>
      <c r="I68" s="5" t="n">
        <v>75</v>
      </c>
      <c r="J68" s="7" t="n">
        <v>23125000</v>
      </c>
      <c r="K68" s="7" t="n">
        <f aca="false">J68*I68/100</f>
        <v>17343750</v>
      </c>
      <c r="L68" s="10" t="n">
        <v>46236</v>
      </c>
      <c r="M68" s="10" t="n">
        <v>46305</v>
      </c>
      <c r="N68" s="5"/>
      <c r="O68" s="5"/>
      <c r="P68" s="7" t="n">
        <v>0</v>
      </c>
      <c r="Q68" s="7" t="n">
        <f aca="false">IF(O68="",0,P68-J68)</f>
        <v>0</v>
      </c>
    </row>
    <row r="69" customFormat="false" ht="15" hidden="false" customHeight="false" outlineLevel="0" collapsed="false">
      <c r="A69" s="5" t="s">
        <v>671</v>
      </c>
      <c r="B69" s="5" t="s">
        <v>672</v>
      </c>
      <c r="C69" s="5" t="s">
        <v>38</v>
      </c>
      <c r="D69" s="5" t="s">
        <v>39</v>
      </c>
      <c r="E69" s="5" t="s">
        <v>535</v>
      </c>
      <c r="F69" s="5" t="s">
        <v>536</v>
      </c>
      <c r="G69" s="5" t="s">
        <v>546</v>
      </c>
      <c r="H69" s="5" t="s">
        <v>538</v>
      </c>
      <c r="I69" s="5" t="n">
        <v>100</v>
      </c>
      <c r="J69" s="7" t="n">
        <v>108843.7</v>
      </c>
      <c r="K69" s="7" t="n">
        <f aca="false">J69*I69/100</f>
        <v>108843.7</v>
      </c>
      <c r="L69" s="10" t="n">
        <v>46237</v>
      </c>
      <c r="M69" s="10" t="n">
        <v>46274</v>
      </c>
      <c r="N69" s="5"/>
      <c r="O69" s="5" t="s">
        <v>410</v>
      </c>
      <c r="P69" s="7" t="n">
        <f aca="false">SUMIFS('Sales Order Lines'!$L$2:$L$207,'Sales Order Lines'!$A$2:$A$207,O69)</f>
        <v>108843.7</v>
      </c>
      <c r="Q69" s="7" t="n">
        <f aca="false">IF(O69="",0,P69-J69)</f>
        <v>0</v>
      </c>
    </row>
    <row r="70" customFormat="false" ht="15" hidden="false" customHeight="false" outlineLevel="0" collapsed="false">
      <c r="A70" s="5" t="s">
        <v>673</v>
      </c>
      <c r="B70" s="5" t="s">
        <v>674</v>
      </c>
      <c r="C70" s="5" t="s">
        <v>76</v>
      </c>
      <c r="D70" s="5" t="s">
        <v>77</v>
      </c>
      <c r="E70" s="5" t="s">
        <v>535</v>
      </c>
      <c r="F70" s="5" t="s">
        <v>536</v>
      </c>
      <c r="G70" s="5" t="s">
        <v>537</v>
      </c>
      <c r="H70" s="5" t="s">
        <v>577</v>
      </c>
      <c r="I70" s="5" t="n">
        <v>0</v>
      </c>
      <c r="J70" s="7" t="n">
        <v>163500</v>
      </c>
      <c r="K70" s="7" t="n">
        <f aca="false">J70*I70/100</f>
        <v>0</v>
      </c>
      <c r="L70" s="10" t="n">
        <v>46238</v>
      </c>
      <c r="M70" s="10" t="n">
        <v>46271</v>
      </c>
      <c r="N70" s="5" t="s">
        <v>586</v>
      </c>
      <c r="O70" s="5"/>
      <c r="P70" s="7" t="n">
        <v>0</v>
      </c>
      <c r="Q70" s="7" t="n">
        <f aca="false">IF(O70="",0,P70-J70)</f>
        <v>0</v>
      </c>
    </row>
    <row r="71" customFormat="false" ht="15" hidden="false" customHeight="false" outlineLevel="0" collapsed="false">
      <c r="A71" s="5" t="s">
        <v>675</v>
      </c>
      <c r="B71" s="5" t="s">
        <v>676</v>
      </c>
      <c r="C71" s="5" t="s">
        <v>47</v>
      </c>
      <c r="D71" s="5" t="s">
        <v>48</v>
      </c>
      <c r="E71" s="5" t="s">
        <v>541</v>
      </c>
      <c r="F71" s="5" t="s">
        <v>542</v>
      </c>
      <c r="G71" s="5" t="s">
        <v>551</v>
      </c>
      <c r="H71" s="5" t="s">
        <v>538</v>
      </c>
      <c r="I71" s="5" t="n">
        <v>100</v>
      </c>
      <c r="J71" s="7" t="n">
        <v>163687.5</v>
      </c>
      <c r="K71" s="7" t="n">
        <f aca="false">J71*I71/100</f>
        <v>163687.5</v>
      </c>
      <c r="L71" s="10" t="n">
        <v>46240</v>
      </c>
      <c r="M71" s="10" t="n">
        <v>46272</v>
      </c>
      <c r="N71" s="5"/>
      <c r="O71" s="5" t="s">
        <v>400</v>
      </c>
      <c r="P71" s="7" t="n">
        <f aca="false">SUMIFS('Sales Order Lines'!$L$2:$L$207,'Sales Order Lines'!$A$2:$A$207,O71)</f>
        <v>163687.5</v>
      </c>
      <c r="Q71" s="7" t="n">
        <f aca="false">IF(O71="",0,P71-J71)</f>
        <v>0</v>
      </c>
    </row>
    <row r="72" customFormat="false" ht="15" hidden="false" customHeight="false" outlineLevel="0" collapsed="false">
      <c r="A72" s="5" t="s">
        <v>677</v>
      </c>
      <c r="B72" s="5" t="s">
        <v>666</v>
      </c>
      <c r="C72" s="5" t="s">
        <v>104</v>
      </c>
      <c r="D72" s="5" t="s">
        <v>105</v>
      </c>
      <c r="E72" s="5" t="s">
        <v>562</v>
      </c>
      <c r="F72" s="5" t="s">
        <v>563</v>
      </c>
      <c r="G72" s="5" t="s">
        <v>566</v>
      </c>
      <c r="H72" s="5" t="s">
        <v>577</v>
      </c>
      <c r="I72" s="5" t="n">
        <v>0</v>
      </c>
      <c r="J72" s="7" t="n">
        <v>97500</v>
      </c>
      <c r="K72" s="7" t="n">
        <f aca="false">J72*I72/100</f>
        <v>0</v>
      </c>
      <c r="L72" s="10" t="n">
        <v>46243</v>
      </c>
      <c r="M72" s="10" t="n">
        <v>46274</v>
      </c>
      <c r="N72" s="5" t="s">
        <v>678</v>
      </c>
      <c r="O72" s="5"/>
      <c r="P72" s="7" t="n">
        <v>0</v>
      </c>
      <c r="Q72" s="7" t="n">
        <f aca="false">IF(O72="",0,P72-J72)</f>
        <v>0</v>
      </c>
    </row>
    <row r="73" customFormat="false" ht="15" hidden="false" customHeight="false" outlineLevel="0" collapsed="false">
      <c r="A73" s="5" t="s">
        <v>679</v>
      </c>
      <c r="B73" s="5" t="s">
        <v>588</v>
      </c>
      <c r="C73" s="5" t="s">
        <v>83</v>
      </c>
      <c r="D73" s="5" t="s">
        <v>84</v>
      </c>
      <c r="E73" s="5" t="s">
        <v>541</v>
      </c>
      <c r="F73" s="5" t="s">
        <v>542</v>
      </c>
      <c r="G73" s="5" t="s">
        <v>543</v>
      </c>
      <c r="H73" s="5" t="s">
        <v>538</v>
      </c>
      <c r="I73" s="5" t="n">
        <v>100</v>
      </c>
      <c r="J73" s="7" t="n">
        <v>123626</v>
      </c>
      <c r="K73" s="7" t="n">
        <f aca="false">J73*I73/100</f>
        <v>123626</v>
      </c>
      <c r="L73" s="10" t="n">
        <v>46244</v>
      </c>
      <c r="M73" s="10" t="n">
        <v>46294</v>
      </c>
      <c r="N73" s="5"/>
      <c r="O73" s="5" t="s">
        <v>445</v>
      </c>
      <c r="P73" s="7" t="n">
        <f aca="false">SUMIFS('Sales Order Lines'!$L$2:$L$207,'Sales Order Lines'!$A$2:$A$207,O73)</f>
        <v>123626</v>
      </c>
      <c r="Q73" s="7" t="n">
        <f aca="false">IF(O73="",0,P73-J73)</f>
        <v>0</v>
      </c>
    </row>
    <row r="74" customFormat="false" ht="15" hidden="false" customHeight="false" outlineLevel="0" collapsed="false">
      <c r="A74" s="5" t="s">
        <v>680</v>
      </c>
      <c r="B74" s="5" t="s">
        <v>638</v>
      </c>
      <c r="C74" s="5" t="s">
        <v>55</v>
      </c>
      <c r="D74" s="5" t="s">
        <v>56</v>
      </c>
      <c r="E74" s="5" t="s">
        <v>541</v>
      </c>
      <c r="F74" s="5" t="s">
        <v>542</v>
      </c>
      <c r="G74" s="5" t="s">
        <v>559</v>
      </c>
      <c r="H74" s="5" t="s">
        <v>664</v>
      </c>
      <c r="I74" s="5" t="n">
        <v>10</v>
      </c>
      <c r="J74" s="7" t="n">
        <v>83000</v>
      </c>
      <c r="K74" s="7" t="n">
        <f aca="false">J74*I74/100</f>
        <v>8300</v>
      </c>
      <c r="L74" s="10" t="n">
        <v>46245</v>
      </c>
      <c r="M74" s="10" t="n">
        <v>46332</v>
      </c>
      <c r="N74" s="5"/>
      <c r="O74" s="5"/>
      <c r="P74" s="7" t="n">
        <v>0</v>
      </c>
      <c r="Q74" s="7" t="n">
        <f aca="false">IF(O74="",0,P74-J74)</f>
        <v>0</v>
      </c>
    </row>
    <row r="75" customFormat="false" ht="15" hidden="false" customHeight="false" outlineLevel="0" collapsed="false">
      <c r="A75" s="5" t="s">
        <v>681</v>
      </c>
      <c r="B75" s="5" t="s">
        <v>682</v>
      </c>
      <c r="C75" s="5" t="s">
        <v>111</v>
      </c>
      <c r="D75" s="5" t="s">
        <v>112</v>
      </c>
      <c r="E75" s="5" t="s">
        <v>535</v>
      </c>
      <c r="F75" s="5" t="s">
        <v>536</v>
      </c>
      <c r="G75" s="5" t="s">
        <v>551</v>
      </c>
      <c r="H75" s="5" t="s">
        <v>538</v>
      </c>
      <c r="I75" s="5" t="n">
        <v>100</v>
      </c>
      <c r="J75" s="7" t="n">
        <v>204697.5</v>
      </c>
      <c r="K75" s="7" t="n">
        <f aca="false">J75*I75/100</f>
        <v>204697.5</v>
      </c>
      <c r="L75" s="10" t="n">
        <v>46245</v>
      </c>
      <c r="M75" s="10" t="n">
        <v>46280</v>
      </c>
      <c r="N75" s="5"/>
      <c r="O75" s="5" t="s">
        <v>426</v>
      </c>
      <c r="P75" s="7" t="n">
        <f aca="false">SUMIFS('Sales Order Lines'!$L$2:$L$207,'Sales Order Lines'!$A$2:$A$207,O75)</f>
        <v>204697.5</v>
      </c>
      <c r="Q75" s="7" t="n">
        <f aca="false">IF(O75="",0,P75-J75)</f>
        <v>0</v>
      </c>
    </row>
    <row r="76" customFormat="false" ht="15" hidden="false" customHeight="false" outlineLevel="0" collapsed="false">
      <c r="A76" s="5" t="s">
        <v>683</v>
      </c>
      <c r="B76" s="5" t="s">
        <v>684</v>
      </c>
      <c r="C76" s="5" t="s">
        <v>97</v>
      </c>
      <c r="D76" s="5" t="s">
        <v>98</v>
      </c>
      <c r="E76" s="5" t="s">
        <v>535</v>
      </c>
      <c r="F76" s="5" t="s">
        <v>536</v>
      </c>
      <c r="G76" s="5" t="s">
        <v>546</v>
      </c>
      <c r="H76" s="5" t="s">
        <v>538</v>
      </c>
      <c r="I76" s="5" t="n">
        <v>100</v>
      </c>
      <c r="J76" s="7" t="n">
        <v>94240</v>
      </c>
      <c r="K76" s="7" t="n">
        <f aca="false">J76*I76/100</f>
        <v>94240</v>
      </c>
      <c r="L76" s="10" t="n">
        <v>46246</v>
      </c>
      <c r="M76" s="10" t="n">
        <v>46288</v>
      </c>
      <c r="N76" s="5"/>
      <c r="O76" s="5" t="s">
        <v>435</v>
      </c>
      <c r="P76" s="7" t="n">
        <f aca="false">SUMIFS('Sales Order Lines'!$L$2:$L$207,'Sales Order Lines'!$A$2:$A$207,O76)</f>
        <v>94240</v>
      </c>
      <c r="Q76" s="7" t="n">
        <f aca="false">IF(O76="",0,P76-J76)</f>
        <v>0</v>
      </c>
    </row>
    <row r="77" customFormat="false" ht="15" hidden="false" customHeight="false" outlineLevel="0" collapsed="false">
      <c r="A77" s="5" t="s">
        <v>685</v>
      </c>
      <c r="B77" s="5" t="s">
        <v>686</v>
      </c>
      <c r="C77" s="5" t="s">
        <v>118</v>
      </c>
      <c r="D77" s="5" t="s">
        <v>119</v>
      </c>
      <c r="E77" s="5" t="s">
        <v>535</v>
      </c>
      <c r="F77" s="5" t="s">
        <v>536</v>
      </c>
      <c r="G77" s="5" t="s">
        <v>566</v>
      </c>
      <c r="H77" s="5" t="s">
        <v>538</v>
      </c>
      <c r="I77" s="5" t="n">
        <v>100</v>
      </c>
      <c r="J77" s="7" t="n">
        <v>110020</v>
      </c>
      <c r="K77" s="7" t="n">
        <f aca="false">J77*I77/100</f>
        <v>110020</v>
      </c>
      <c r="L77" s="10" t="n">
        <v>46248</v>
      </c>
      <c r="M77" s="10" t="n">
        <v>46286</v>
      </c>
      <c r="N77" s="5"/>
      <c r="O77" s="5" t="s">
        <v>429</v>
      </c>
      <c r="P77" s="7" t="n">
        <f aca="false">SUMIFS('Sales Order Lines'!$L$2:$L$207,'Sales Order Lines'!$A$2:$A$207,O77)</f>
        <v>110020</v>
      </c>
      <c r="Q77" s="7" t="n">
        <f aca="false">IF(O77="",0,P77-J77)</f>
        <v>0</v>
      </c>
    </row>
    <row r="78" customFormat="false" ht="15" hidden="false" customHeight="false" outlineLevel="0" collapsed="false">
      <c r="A78" s="5" t="s">
        <v>687</v>
      </c>
      <c r="B78" s="5" t="s">
        <v>688</v>
      </c>
      <c r="C78" s="5" t="s">
        <v>47</v>
      </c>
      <c r="D78" s="5" t="s">
        <v>48</v>
      </c>
      <c r="E78" s="5" t="s">
        <v>541</v>
      </c>
      <c r="F78" s="5" t="s">
        <v>542</v>
      </c>
      <c r="G78" s="5" t="s">
        <v>543</v>
      </c>
      <c r="H78" s="5" t="s">
        <v>538</v>
      </c>
      <c r="I78" s="5" t="n">
        <v>100</v>
      </c>
      <c r="J78" s="7" t="n">
        <v>907236.15</v>
      </c>
      <c r="K78" s="7" t="n">
        <f aca="false">J78*I78/100</f>
        <v>907236.15</v>
      </c>
      <c r="L78" s="10" t="n">
        <v>46249</v>
      </c>
      <c r="M78" s="10" t="n">
        <v>46260</v>
      </c>
      <c r="N78" s="5"/>
      <c r="O78" s="5" t="s">
        <v>394</v>
      </c>
      <c r="P78" s="7" t="n">
        <f aca="false">SUMIFS('Sales Order Lines'!$L$2:$L$207,'Sales Order Lines'!$A$2:$A$207,O78)</f>
        <v>907236.15</v>
      </c>
      <c r="Q78" s="7" t="n">
        <f aca="false">IF(O78="",0,P78-J78)</f>
        <v>0</v>
      </c>
    </row>
    <row r="79" customFormat="false" ht="15" hidden="false" customHeight="false" outlineLevel="0" collapsed="false">
      <c r="A79" s="5" t="s">
        <v>689</v>
      </c>
      <c r="B79" s="5" t="s">
        <v>638</v>
      </c>
      <c r="C79" s="5" t="s">
        <v>55</v>
      </c>
      <c r="D79" s="5" t="s">
        <v>56</v>
      </c>
      <c r="E79" s="5" t="s">
        <v>541</v>
      </c>
      <c r="F79" s="5" t="s">
        <v>542</v>
      </c>
      <c r="G79" s="5" t="s">
        <v>543</v>
      </c>
      <c r="H79" s="5" t="s">
        <v>538</v>
      </c>
      <c r="I79" s="5" t="n">
        <v>100</v>
      </c>
      <c r="J79" s="7" t="n">
        <v>170637.6</v>
      </c>
      <c r="K79" s="7" t="n">
        <f aca="false">J79*I79/100</f>
        <v>170637.6</v>
      </c>
      <c r="L79" s="10" t="n">
        <v>46254</v>
      </c>
      <c r="M79" s="10" t="n">
        <v>46294</v>
      </c>
      <c r="N79" s="5"/>
      <c r="O79" s="5" t="s">
        <v>448</v>
      </c>
      <c r="P79" s="7" t="n">
        <f aca="false">SUMIFS('Sales Order Lines'!$L$2:$L$207,'Sales Order Lines'!$A$2:$A$207,O79)</f>
        <v>170637.6</v>
      </c>
      <c r="Q79" s="7" t="n">
        <f aca="false">IF(O79="",0,P79-J79)</f>
        <v>0</v>
      </c>
    </row>
    <row r="80" customFormat="false" ht="15" hidden="false" customHeight="false" outlineLevel="0" collapsed="false">
      <c r="A80" s="5" t="s">
        <v>690</v>
      </c>
      <c r="B80" s="5" t="s">
        <v>691</v>
      </c>
      <c r="C80" s="5" t="s">
        <v>62</v>
      </c>
      <c r="D80" s="5" t="s">
        <v>63</v>
      </c>
      <c r="E80" s="5" t="s">
        <v>541</v>
      </c>
      <c r="F80" s="5" t="s">
        <v>542</v>
      </c>
      <c r="G80" s="5" t="s">
        <v>543</v>
      </c>
      <c r="H80" s="5" t="s">
        <v>692</v>
      </c>
      <c r="I80" s="5" t="n">
        <v>50</v>
      </c>
      <c r="J80" s="7" t="n">
        <v>197780</v>
      </c>
      <c r="K80" s="7" t="n">
        <f aca="false">J80*I80/100</f>
        <v>98890</v>
      </c>
      <c r="L80" s="10" t="n">
        <v>46259</v>
      </c>
      <c r="M80" s="10" t="n">
        <v>46318</v>
      </c>
      <c r="N80" s="5"/>
      <c r="O80" s="5"/>
      <c r="P80" s="7" t="n">
        <v>0</v>
      </c>
      <c r="Q80" s="7" t="n">
        <f aca="false">IF(O80="",0,P80-J80)</f>
        <v>0</v>
      </c>
    </row>
    <row r="81" customFormat="false" ht="15" hidden="false" customHeight="false" outlineLevel="0" collapsed="false">
      <c r="A81" s="5" t="s">
        <v>693</v>
      </c>
      <c r="B81" s="5" t="s">
        <v>694</v>
      </c>
      <c r="C81" s="5" t="s">
        <v>76</v>
      </c>
      <c r="D81" s="5" t="s">
        <v>77</v>
      </c>
      <c r="E81" s="5" t="s">
        <v>535</v>
      </c>
      <c r="F81" s="5" t="s">
        <v>536</v>
      </c>
      <c r="G81" s="5" t="s">
        <v>551</v>
      </c>
      <c r="H81" s="5" t="s">
        <v>538</v>
      </c>
      <c r="I81" s="5" t="n">
        <v>100</v>
      </c>
      <c r="J81" s="7" t="n">
        <v>130085.2</v>
      </c>
      <c r="K81" s="7" t="n">
        <f aca="false">J81*I81/100</f>
        <v>130085.2</v>
      </c>
      <c r="L81" s="10" t="n">
        <v>46261</v>
      </c>
      <c r="M81" s="10" t="n">
        <v>46293</v>
      </c>
      <c r="N81" s="5"/>
      <c r="O81" s="5" t="s">
        <v>443</v>
      </c>
      <c r="P81" s="7" t="n">
        <f aca="false">SUMIFS('Sales Order Lines'!$L$2:$L$207,'Sales Order Lines'!$A$2:$A$207,O81)</f>
        <v>130085.2</v>
      </c>
      <c r="Q81" s="7" t="n">
        <f aca="false">IF(O81="",0,P81-J81)</f>
        <v>0</v>
      </c>
    </row>
    <row r="82" customFormat="false" ht="15" hidden="false" customHeight="false" outlineLevel="0" collapsed="false">
      <c r="A82" s="5" t="s">
        <v>695</v>
      </c>
      <c r="B82" s="5" t="s">
        <v>696</v>
      </c>
      <c r="C82" s="5" t="s">
        <v>69</v>
      </c>
      <c r="D82" s="5" t="s">
        <v>70</v>
      </c>
      <c r="E82" s="5" t="s">
        <v>535</v>
      </c>
      <c r="F82" s="5" t="s">
        <v>536</v>
      </c>
      <c r="G82" s="5" t="s">
        <v>566</v>
      </c>
      <c r="H82" s="5" t="s">
        <v>697</v>
      </c>
      <c r="I82" s="5" t="n">
        <v>25</v>
      </c>
      <c r="J82" s="7" t="n">
        <v>2318400</v>
      </c>
      <c r="K82" s="7" t="n">
        <f aca="false">J82*I82/100</f>
        <v>579600</v>
      </c>
      <c r="L82" s="10" t="n">
        <v>46263</v>
      </c>
      <c r="M82" s="10" t="n">
        <v>46325</v>
      </c>
      <c r="N82" s="5"/>
      <c r="O82" s="5"/>
      <c r="P82" s="7" t="n">
        <v>0</v>
      </c>
      <c r="Q82" s="7" t="n">
        <f aca="false">IF(O82="",0,P82-J82)</f>
        <v>0</v>
      </c>
    </row>
    <row r="83" customFormat="false" ht="15" hidden="false" customHeight="false" outlineLevel="0" collapsed="false">
      <c r="A83" s="5" t="s">
        <v>698</v>
      </c>
      <c r="B83" s="5" t="s">
        <v>699</v>
      </c>
      <c r="C83" s="5" t="s">
        <v>90</v>
      </c>
      <c r="D83" s="5" t="s">
        <v>91</v>
      </c>
      <c r="E83" s="5" t="s">
        <v>535</v>
      </c>
      <c r="F83" s="5" t="s">
        <v>536</v>
      </c>
      <c r="G83" s="5" t="s">
        <v>546</v>
      </c>
      <c r="H83" s="5" t="s">
        <v>692</v>
      </c>
      <c r="I83" s="5" t="n">
        <v>50</v>
      </c>
      <c r="J83" s="7" t="n">
        <v>2763600</v>
      </c>
      <c r="K83" s="7" t="n">
        <f aca="false">J83*I83/100</f>
        <v>1381800</v>
      </c>
      <c r="L83" s="10" t="n">
        <v>46265</v>
      </c>
      <c r="M83" s="10" t="n">
        <v>46329</v>
      </c>
      <c r="N83" s="5"/>
      <c r="O83" s="5"/>
      <c r="P83" s="7" t="n">
        <v>0</v>
      </c>
      <c r="Q83" s="7" t="n">
        <f aca="false">IF(O83="",0,P83-J83)</f>
        <v>0</v>
      </c>
    </row>
    <row r="84" customFormat="false" ht="15" hidden="false" customHeight="false" outlineLevel="0" collapsed="false">
      <c r="A84" s="5" t="s">
        <v>700</v>
      </c>
      <c r="B84" s="5" t="s">
        <v>701</v>
      </c>
      <c r="C84" s="5" t="s">
        <v>76</v>
      </c>
      <c r="D84" s="5" t="s">
        <v>77</v>
      </c>
      <c r="E84" s="5" t="s">
        <v>535</v>
      </c>
      <c r="F84" s="5" t="s">
        <v>536</v>
      </c>
      <c r="G84" s="5" t="s">
        <v>543</v>
      </c>
      <c r="H84" s="5" t="s">
        <v>697</v>
      </c>
      <c r="I84" s="5" t="n">
        <v>25</v>
      </c>
      <c r="J84" s="7" t="n">
        <v>263250</v>
      </c>
      <c r="K84" s="7" t="n">
        <f aca="false">J84*I84/100</f>
        <v>65812.5</v>
      </c>
      <c r="L84" s="10" t="n">
        <v>46270</v>
      </c>
      <c r="M84" s="10" t="n">
        <v>46323</v>
      </c>
      <c r="N84" s="5"/>
      <c r="O84" s="5"/>
      <c r="P84" s="7" t="n">
        <v>0</v>
      </c>
      <c r="Q84" s="7" t="n">
        <f aca="false">IF(O84="",0,P84-J84)</f>
        <v>0</v>
      </c>
    </row>
    <row r="85" customFormat="false" ht="15" hidden="false" customHeight="false" outlineLevel="0" collapsed="false">
      <c r="A85" s="5" t="s">
        <v>702</v>
      </c>
      <c r="B85" s="5" t="s">
        <v>703</v>
      </c>
      <c r="C85" s="5" t="s">
        <v>69</v>
      </c>
      <c r="D85" s="5" t="s">
        <v>70</v>
      </c>
      <c r="E85" s="5" t="s">
        <v>535</v>
      </c>
      <c r="F85" s="5" t="s">
        <v>536</v>
      </c>
      <c r="G85" s="5" t="s">
        <v>559</v>
      </c>
      <c r="H85" s="5" t="s">
        <v>538</v>
      </c>
      <c r="I85" s="5" t="n">
        <v>100</v>
      </c>
      <c r="J85" s="7" t="n">
        <v>56111</v>
      </c>
      <c r="K85" s="7" t="n">
        <f aca="false">J85*I85/100</f>
        <v>56111</v>
      </c>
      <c r="L85" s="10" t="n">
        <v>46272</v>
      </c>
      <c r="M85" s="10" t="n">
        <v>46287</v>
      </c>
      <c r="N85" s="5"/>
      <c r="O85" s="5" t="s">
        <v>432</v>
      </c>
      <c r="P85" s="7" t="n">
        <f aca="false">SUMIFS('Sales Order Lines'!$L$2:$L$207,'Sales Order Lines'!$A$2:$A$207,O85)</f>
        <v>56111</v>
      </c>
      <c r="Q85" s="7" t="n">
        <f aca="false">IF(O85="",0,P85-J85)</f>
        <v>0</v>
      </c>
    </row>
    <row r="86" customFormat="false" ht="15" hidden="false" customHeight="false" outlineLevel="0" collapsed="false">
      <c r="A86" s="5" t="s">
        <v>704</v>
      </c>
      <c r="B86" s="5" t="s">
        <v>705</v>
      </c>
      <c r="C86" s="5" t="s">
        <v>38</v>
      </c>
      <c r="D86" s="5" t="s">
        <v>39</v>
      </c>
      <c r="E86" s="5" t="s">
        <v>535</v>
      </c>
      <c r="F86" s="5" t="s">
        <v>536</v>
      </c>
      <c r="G86" s="5" t="s">
        <v>546</v>
      </c>
      <c r="H86" s="5" t="s">
        <v>697</v>
      </c>
      <c r="I86" s="5" t="n">
        <v>25</v>
      </c>
      <c r="J86" s="7" t="n">
        <v>331200</v>
      </c>
      <c r="K86" s="7" t="n">
        <f aca="false">J86*I86/100</f>
        <v>82800</v>
      </c>
      <c r="L86" s="10" t="n">
        <v>46275</v>
      </c>
      <c r="M86" s="10" t="n">
        <v>46355</v>
      </c>
      <c r="N86" s="5"/>
      <c r="O86" s="5"/>
      <c r="P86" s="7" t="n">
        <v>0</v>
      </c>
      <c r="Q86" s="7" t="n">
        <f aca="false">IF(O86="",0,P86-J86)</f>
        <v>0</v>
      </c>
    </row>
    <row r="87" customFormat="false" ht="15" hidden="false" customHeight="false" outlineLevel="0" collapsed="false">
      <c r="A87" s="5" t="s">
        <v>706</v>
      </c>
      <c r="B87" s="5" t="s">
        <v>707</v>
      </c>
      <c r="C87" s="5" t="s">
        <v>62</v>
      </c>
      <c r="D87" s="5" t="s">
        <v>63</v>
      </c>
      <c r="E87" s="5" t="s">
        <v>541</v>
      </c>
      <c r="F87" s="5" t="s">
        <v>542</v>
      </c>
      <c r="G87" s="5" t="s">
        <v>537</v>
      </c>
      <c r="H87" s="5" t="s">
        <v>538</v>
      </c>
      <c r="I87" s="5" t="n">
        <v>100</v>
      </c>
      <c r="J87" s="7" t="n">
        <v>187307</v>
      </c>
      <c r="K87" s="7" t="n">
        <f aca="false">J87*I87/100</f>
        <v>187307</v>
      </c>
      <c r="L87" s="10" t="n">
        <v>46275</v>
      </c>
      <c r="M87" s="10" t="n">
        <v>46292</v>
      </c>
      <c r="N87" s="5"/>
      <c r="O87" s="5" t="s">
        <v>441</v>
      </c>
      <c r="P87" s="7" t="n">
        <f aca="false">SUMIFS('Sales Order Lines'!$L$2:$L$207,'Sales Order Lines'!$A$2:$A$207,O87)</f>
        <v>187307</v>
      </c>
      <c r="Q87" s="7" t="n">
        <f aca="false">IF(O87="",0,P87-J87)</f>
        <v>0</v>
      </c>
    </row>
    <row r="88" customFormat="false" ht="15" hidden="false" customHeight="false" outlineLevel="0" collapsed="false">
      <c r="A88" s="5" t="s">
        <v>708</v>
      </c>
      <c r="B88" s="5" t="s">
        <v>709</v>
      </c>
      <c r="C88" s="5" t="s">
        <v>69</v>
      </c>
      <c r="D88" s="5" t="s">
        <v>70</v>
      </c>
      <c r="E88" s="5" t="s">
        <v>535</v>
      </c>
      <c r="F88" s="5" t="s">
        <v>536</v>
      </c>
      <c r="G88" s="5" t="s">
        <v>537</v>
      </c>
      <c r="H88" s="5" t="s">
        <v>697</v>
      </c>
      <c r="I88" s="5" t="n">
        <v>25</v>
      </c>
      <c r="J88" s="7" t="n">
        <v>1158100</v>
      </c>
      <c r="K88" s="7" t="n">
        <f aca="false">J88*I88/100</f>
        <v>289525</v>
      </c>
      <c r="L88" s="10" t="n">
        <v>46278</v>
      </c>
      <c r="M88" s="10" t="n">
        <v>46339</v>
      </c>
      <c r="N88" s="5"/>
      <c r="O88" s="5"/>
      <c r="P88" s="7" t="n">
        <v>0</v>
      </c>
      <c r="Q88" s="7" t="n">
        <f aca="false">IF(O88="",0,P88-J88)</f>
        <v>0</v>
      </c>
    </row>
    <row r="89" customFormat="false" ht="15" hidden="false" customHeight="false" outlineLevel="0" collapsed="false">
      <c r="A89" s="5" t="s">
        <v>710</v>
      </c>
      <c r="B89" s="5" t="s">
        <v>711</v>
      </c>
      <c r="C89" s="5" t="s">
        <v>104</v>
      </c>
      <c r="D89" s="5" t="s">
        <v>105</v>
      </c>
      <c r="E89" s="5" t="s">
        <v>562</v>
      </c>
      <c r="F89" s="5" t="s">
        <v>563</v>
      </c>
      <c r="G89" s="5" t="s">
        <v>566</v>
      </c>
      <c r="H89" s="5" t="s">
        <v>670</v>
      </c>
      <c r="I89" s="5" t="n">
        <v>75</v>
      </c>
      <c r="J89" s="7" t="n">
        <v>1670000</v>
      </c>
      <c r="K89" s="7" t="n">
        <f aca="false">J89*I89/100</f>
        <v>1252500</v>
      </c>
      <c r="L89" s="10" t="n">
        <v>46284</v>
      </c>
      <c r="M89" s="10" t="n">
        <v>46351</v>
      </c>
      <c r="N89" s="5"/>
      <c r="O89" s="5"/>
      <c r="P89" s="7" t="n">
        <v>0</v>
      </c>
      <c r="Q89" s="7" t="n">
        <f aca="false">IF(O89="",0,P89-J89)</f>
        <v>0</v>
      </c>
    </row>
    <row r="91" customFormat="false" ht="31.5" hidden="false" customHeight="true" outlineLevel="0" collapsed="false">
      <c r="A91" s="4" t="s">
        <v>523</v>
      </c>
      <c r="B91" s="4" t="s">
        <v>524</v>
      </c>
      <c r="C91" s="4" t="s">
        <v>712</v>
      </c>
      <c r="D91" s="4" t="s">
        <v>713</v>
      </c>
      <c r="E91" s="4" t="s">
        <v>526</v>
      </c>
    </row>
    <row r="92" customFormat="false" ht="15" hidden="false" customHeight="false" outlineLevel="0" collapsed="false">
      <c r="A92" s="5" t="s">
        <v>664</v>
      </c>
      <c r="B92" s="5" t="n">
        <v>10</v>
      </c>
      <c r="C92" s="5" t="n">
        <f aca="false">COUNTIF('CRM Pipeline'!$H$4:$H$89,A92)</f>
        <v>2</v>
      </c>
      <c r="D92" s="7" t="n">
        <f aca="false">SUMIFS('CRM Pipeline'!$J$4:$J$89,'CRM Pipeline'!$H$4:$H$89,A92)</f>
        <v>630600</v>
      </c>
      <c r="E92" s="7" t="n">
        <f aca="false">SUMIFS('CRM Pipeline'!$K$4:$K$89,'CRM Pipeline'!$H$4:$H$89,A92)</f>
        <v>63060</v>
      </c>
    </row>
    <row r="93" customFormat="false" ht="15" hidden="false" customHeight="false" outlineLevel="0" collapsed="false">
      <c r="A93" s="5" t="s">
        <v>697</v>
      </c>
      <c r="B93" s="5" t="n">
        <v>25</v>
      </c>
      <c r="C93" s="5" t="n">
        <f aca="false">COUNTIF('CRM Pipeline'!$H$4:$H$89,A93)</f>
        <v>4</v>
      </c>
      <c r="D93" s="7" t="n">
        <f aca="false">SUMIFS('CRM Pipeline'!$J$4:$J$89,'CRM Pipeline'!$H$4:$H$89,A93)</f>
        <v>4070950</v>
      </c>
      <c r="E93" s="7" t="n">
        <f aca="false">SUMIFS('CRM Pipeline'!$K$4:$K$89,'CRM Pipeline'!$H$4:$H$89,A93)</f>
        <v>1017737.5</v>
      </c>
    </row>
    <row r="94" customFormat="false" ht="15" hidden="false" customHeight="false" outlineLevel="0" collapsed="false">
      <c r="A94" s="5" t="s">
        <v>692</v>
      </c>
      <c r="B94" s="5" t="n">
        <v>50</v>
      </c>
      <c r="C94" s="5" t="n">
        <f aca="false">COUNTIF('CRM Pipeline'!$H$4:$H$89,A94)</f>
        <v>2</v>
      </c>
      <c r="D94" s="7" t="n">
        <f aca="false">SUMIFS('CRM Pipeline'!$J$4:$J$89,'CRM Pipeline'!$H$4:$H$89,A94)</f>
        <v>2961380</v>
      </c>
      <c r="E94" s="7" t="n">
        <f aca="false">SUMIFS('CRM Pipeline'!$K$4:$K$89,'CRM Pipeline'!$H$4:$H$89,A94)</f>
        <v>1480690</v>
      </c>
    </row>
    <row r="95" customFormat="false" ht="15" hidden="false" customHeight="false" outlineLevel="0" collapsed="false">
      <c r="A95" s="5" t="s">
        <v>670</v>
      </c>
      <c r="B95" s="5" t="n">
        <v>75</v>
      </c>
      <c r="C95" s="5" t="n">
        <f aca="false">COUNTIF('CRM Pipeline'!$H$4:$H$89,A95)</f>
        <v>2</v>
      </c>
      <c r="D95" s="7" t="n">
        <f aca="false">SUMIFS('CRM Pipeline'!$J$4:$J$89,'CRM Pipeline'!$H$4:$H$89,A95)</f>
        <v>24795000</v>
      </c>
      <c r="E95" s="7" t="n">
        <f aca="false">SUMIFS('CRM Pipeline'!$K$4:$K$89,'CRM Pipeline'!$H$4:$H$89,A95)</f>
        <v>18596250</v>
      </c>
    </row>
    <row r="96" customFormat="false" ht="15" hidden="false" customHeight="false" outlineLevel="0" collapsed="false">
      <c r="A96" s="5" t="s">
        <v>538</v>
      </c>
      <c r="B96" s="5" t="n">
        <v>100</v>
      </c>
      <c r="C96" s="5" t="n">
        <f aca="false">COUNTIF('CRM Pipeline'!$H$4:$H$89,A96)</f>
        <v>62</v>
      </c>
      <c r="D96" s="7" t="n">
        <f aca="false">SUMIFS('CRM Pipeline'!$J$4:$J$89,'CRM Pipeline'!$H$4:$H$89,A96)</f>
        <v>31732543.29</v>
      </c>
      <c r="E96" s="7" t="n">
        <f aca="false">SUMIFS('CRM Pipeline'!$K$4:$K$89,'CRM Pipeline'!$H$4:$H$89,A96)</f>
        <v>31732543.29</v>
      </c>
    </row>
    <row r="97" customFormat="false" ht="15" hidden="false" customHeight="false" outlineLevel="0" collapsed="false">
      <c r="A97" s="5" t="s">
        <v>577</v>
      </c>
      <c r="B97" s="5" t="n">
        <v>0</v>
      </c>
      <c r="C97" s="5" t="n">
        <f aca="false">COUNTIF('CRM Pipeline'!$H$4:$H$89,A97)</f>
        <v>14</v>
      </c>
      <c r="D97" s="7" t="n">
        <f aca="false">SUMIFS('CRM Pipeline'!$J$4:$J$89,'CRM Pipeline'!$H$4:$H$89,A97)</f>
        <v>8934295</v>
      </c>
      <c r="E97" s="7" t="n">
        <f aca="false">SUMIFS('CRM Pipeline'!$K$4:$K$89,'CRM Pipeline'!$H$4:$H$89,A97)</f>
        <v>0</v>
      </c>
    </row>
    <row r="98" customFormat="false" ht="15" hidden="false" customHeight="false" outlineLevel="0" collapsed="false">
      <c r="A98" s="5" t="s">
        <v>714</v>
      </c>
      <c r="B98" s="5"/>
      <c r="C98" s="5" t="n">
        <f aca="false">SUM(C92:C97)</f>
        <v>86</v>
      </c>
      <c r="D98" s="7" t="n">
        <f aca="false">SUM(D92:D97)</f>
        <v>73124768.29</v>
      </c>
      <c r="E98" s="7" t="n">
        <f aca="false">SUM(E92:E97)</f>
        <v>52890280.79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O1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10" min="8" style="0" width="13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27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1" t="s">
        <v>715</v>
      </c>
    </row>
    <row r="2" customFormat="false" ht="15" hidden="false" customHeight="false" outlineLevel="0" collapsed="false">
      <c r="A2" s="12" t="s">
        <v>716</v>
      </c>
    </row>
    <row r="3" customFormat="false" ht="31.5" hidden="false" customHeight="true" outlineLevel="0" collapsed="false">
      <c r="A3" s="4" t="s">
        <v>717</v>
      </c>
      <c r="B3" s="4" t="s">
        <v>718</v>
      </c>
      <c r="C3" s="4" t="s">
        <v>182</v>
      </c>
      <c r="D3" s="4" t="s">
        <v>23</v>
      </c>
      <c r="E3" s="4" t="s">
        <v>183</v>
      </c>
      <c r="F3" s="4" t="s">
        <v>719</v>
      </c>
      <c r="G3" s="4" t="s">
        <v>720</v>
      </c>
      <c r="H3" s="4" t="s">
        <v>721</v>
      </c>
      <c r="I3" s="4" t="s">
        <v>722</v>
      </c>
      <c r="J3" s="4" t="s">
        <v>723</v>
      </c>
      <c r="K3" s="4" t="s">
        <v>724</v>
      </c>
      <c r="L3" s="4" t="s">
        <v>725</v>
      </c>
      <c r="M3" s="4" t="s">
        <v>36</v>
      </c>
      <c r="N3" s="4" t="s">
        <v>726</v>
      </c>
      <c r="O3" s="4" t="s">
        <v>727</v>
      </c>
    </row>
    <row r="4" customFormat="false" ht="15" hidden="false" customHeight="false" outlineLevel="0" collapsed="false">
      <c r="A4" s="5" t="s">
        <v>192</v>
      </c>
      <c r="B4" s="10" t="n">
        <v>46154</v>
      </c>
      <c r="C4" s="5" t="s">
        <v>189</v>
      </c>
      <c r="D4" s="5" t="s">
        <v>38</v>
      </c>
      <c r="E4" s="5" t="s">
        <v>39</v>
      </c>
      <c r="F4" s="5" t="s">
        <v>188</v>
      </c>
      <c r="G4" s="7" t="n">
        <v>134007.44</v>
      </c>
      <c r="H4" s="7" t="n">
        <v>18761.04</v>
      </c>
      <c r="I4" s="7" t="n">
        <f aca="false">G4+H4</f>
        <v>152768.48</v>
      </c>
      <c r="J4" s="10" t="n">
        <v>46184</v>
      </c>
      <c r="K4" s="7" t="n">
        <f aca="false">SUMIFS('Customer and Supplier Returns'!$S$2:$S$12,'Customer and Supplier Returns'!$G$2:$G$12,A4,'Customer and Supplier Returns'!$B$2:$B$12,"Customer return")</f>
        <v>0</v>
      </c>
      <c r="L4" s="7" t="n">
        <f aca="false">SUMIFS('Customer Invoices and Payments'!$F$91:$F$152,'Customer Invoices and Payments'!$D$91:$D$152,A4)</f>
        <v>152768.48</v>
      </c>
      <c r="M4" s="7" t="n">
        <f aca="false">I4-K4-L4</f>
        <v>0</v>
      </c>
      <c r="N4" s="5" t="str">
        <f aca="false">IF(ROUND(M4,2)=0,"Paid",IF(L4&gt;0,IF(J4&lt;DATE(2026,9,30),"Partial - overdue","Partially paid"),IF(J4&lt;DATE(2026,9,30),"Overdue","Open")))</f>
        <v>Paid</v>
      </c>
      <c r="O4" s="13" t="n">
        <f aca="false">IF(ROUND(M4,2)&gt;0,MAX(0,DATE(2026,9,30)-J4),0)</f>
        <v>0</v>
      </c>
    </row>
    <row r="5" customFormat="false" ht="15" hidden="false" customHeight="false" outlineLevel="0" collapsed="false">
      <c r="A5" s="5" t="s">
        <v>195</v>
      </c>
      <c r="B5" s="10" t="n">
        <v>46155</v>
      </c>
      <c r="C5" s="5" t="s">
        <v>189</v>
      </c>
      <c r="D5" s="5" t="s">
        <v>55</v>
      </c>
      <c r="E5" s="5" t="s">
        <v>56</v>
      </c>
      <c r="F5" s="5" t="s">
        <v>193</v>
      </c>
      <c r="G5" s="7" t="n">
        <v>222264</v>
      </c>
      <c r="H5" s="7" t="n">
        <v>31116.96</v>
      </c>
      <c r="I5" s="7" t="n">
        <f aca="false">G5+H5</f>
        <v>253380.96</v>
      </c>
      <c r="J5" s="10" t="n">
        <v>46200</v>
      </c>
      <c r="K5" s="7" t="n">
        <f aca="false">SUMIFS('Customer and Supplier Returns'!$S$2:$S$12,'Customer and Supplier Returns'!$G$2:$G$12,A5,'Customer and Supplier Returns'!$B$2:$B$12,"Customer return")</f>
        <v>0</v>
      </c>
      <c r="L5" s="7" t="n">
        <f aca="false">SUMIFS('Customer Invoices and Payments'!$F$91:$F$152,'Customer Invoices and Payments'!$D$91:$D$152,A5)</f>
        <v>253380.96</v>
      </c>
      <c r="M5" s="7" t="n">
        <f aca="false">I5-K5-L5</f>
        <v>0</v>
      </c>
      <c r="N5" s="5" t="str">
        <f aca="false">IF(ROUND(M5,2)=0,"Paid",IF(L5&gt;0,IF(J5&lt;DATE(2026,9,30),"Partial - overdue","Partially paid"),IF(J5&lt;DATE(2026,9,30),"Overdue","Open")))</f>
        <v>Paid</v>
      </c>
      <c r="O5" s="13" t="n">
        <f aca="false">IF(ROUND(M5,2)&gt;0,MAX(0,DATE(2026,9,30)-J5),0)</f>
        <v>0</v>
      </c>
    </row>
    <row r="6" customFormat="false" ht="15" hidden="false" customHeight="false" outlineLevel="0" collapsed="false">
      <c r="A6" s="5" t="s">
        <v>204</v>
      </c>
      <c r="B6" s="10" t="n">
        <v>46156</v>
      </c>
      <c r="C6" s="5" t="s">
        <v>189</v>
      </c>
      <c r="D6" s="5" t="s">
        <v>126</v>
      </c>
      <c r="E6" s="5" t="s">
        <v>127</v>
      </c>
      <c r="F6" s="5" t="s">
        <v>202</v>
      </c>
      <c r="G6" s="7" t="n">
        <v>3500</v>
      </c>
      <c r="H6" s="7" t="n">
        <v>490</v>
      </c>
      <c r="I6" s="7" t="n">
        <f aca="false">G6+H6</f>
        <v>3990</v>
      </c>
      <c r="J6" s="10" t="n">
        <v>46156</v>
      </c>
      <c r="K6" s="7" t="n">
        <f aca="false">SUMIFS('Customer and Supplier Returns'!$S$2:$S$12,'Customer and Supplier Returns'!$G$2:$G$12,A6,'Customer and Supplier Returns'!$B$2:$B$12,"Customer return")</f>
        <v>0</v>
      </c>
      <c r="L6" s="7" t="n">
        <f aca="false">SUMIFS('Customer Invoices and Payments'!$F$91:$F$152,'Customer Invoices and Payments'!$D$91:$D$152,A6)</f>
        <v>3990</v>
      </c>
      <c r="M6" s="7" t="n">
        <f aca="false">I6-K6-L6</f>
        <v>0</v>
      </c>
      <c r="N6" s="5" t="str">
        <f aca="false">IF(ROUND(M6,2)=0,"Paid",IF(L6&gt;0,IF(J6&lt;DATE(2026,9,30),"Partial - overdue","Partially paid"),IF(J6&lt;DATE(2026,9,30),"Overdue","Open")))</f>
        <v>Paid</v>
      </c>
      <c r="O6" s="13" t="n">
        <f aca="false">IF(ROUND(M6,2)&gt;0,MAX(0,DATE(2026,9,30)-J6),0)</f>
        <v>0</v>
      </c>
    </row>
    <row r="7" customFormat="false" ht="15" hidden="false" customHeight="false" outlineLevel="0" collapsed="false">
      <c r="A7" s="5" t="s">
        <v>207</v>
      </c>
      <c r="B7" s="10" t="n">
        <v>46156</v>
      </c>
      <c r="C7" s="5" t="s">
        <v>189</v>
      </c>
      <c r="D7" s="5" t="s">
        <v>126</v>
      </c>
      <c r="E7" s="5" t="s">
        <v>127</v>
      </c>
      <c r="F7" s="5" t="s">
        <v>205</v>
      </c>
      <c r="G7" s="7" t="n">
        <v>2760</v>
      </c>
      <c r="H7" s="7" t="n">
        <v>386.4</v>
      </c>
      <c r="I7" s="7" t="n">
        <f aca="false">G7+H7</f>
        <v>3146.4</v>
      </c>
      <c r="J7" s="10" t="n">
        <v>46156</v>
      </c>
      <c r="K7" s="7" t="n">
        <f aca="false">SUMIFS('Customer and Supplier Returns'!$S$2:$S$12,'Customer and Supplier Returns'!$G$2:$G$12,A7,'Customer and Supplier Returns'!$B$2:$B$12,"Customer return")</f>
        <v>0</v>
      </c>
      <c r="L7" s="7" t="n">
        <f aca="false">SUMIFS('Customer Invoices and Payments'!$F$91:$F$152,'Customer Invoices and Payments'!$D$91:$D$152,A7)</f>
        <v>3146.4</v>
      </c>
      <c r="M7" s="7" t="n">
        <f aca="false">I7-K7-L7</f>
        <v>0</v>
      </c>
      <c r="N7" s="5" t="str">
        <f aca="false">IF(ROUND(M7,2)=0,"Paid",IF(L7&gt;0,IF(J7&lt;DATE(2026,9,30),"Partial - overdue","Partially paid"),IF(J7&lt;DATE(2026,9,30),"Overdue","Open")))</f>
        <v>Paid</v>
      </c>
      <c r="O7" s="13" t="n">
        <f aca="false">IF(ROUND(M7,2)&gt;0,MAX(0,DATE(2026,9,30)-J7),0)</f>
        <v>0</v>
      </c>
    </row>
    <row r="8" customFormat="false" ht="15" hidden="false" customHeight="false" outlineLevel="0" collapsed="false">
      <c r="A8" s="5" t="s">
        <v>201</v>
      </c>
      <c r="B8" s="10" t="n">
        <v>46159</v>
      </c>
      <c r="C8" s="5" t="s">
        <v>189</v>
      </c>
      <c r="D8" s="5" t="s">
        <v>47</v>
      </c>
      <c r="E8" s="5" t="s">
        <v>48</v>
      </c>
      <c r="F8" s="5" t="s">
        <v>199</v>
      </c>
      <c r="G8" s="7" t="n">
        <v>72682.1</v>
      </c>
      <c r="H8" s="7" t="n">
        <v>10175.49</v>
      </c>
      <c r="I8" s="7" t="n">
        <f aca="false">G8+H8</f>
        <v>82857.59</v>
      </c>
      <c r="J8" s="10" t="n">
        <v>46204</v>
      </c>
      <c r="K8" s="7" t="n">
        <f aca="false">SUMIFS('Customer and Supplier Returns'!$S$2:$S$12,'Customer and Supplier Returns'!$G$2:$G$12,A8,'Customer and Supplier Returns'!$B$2:$B$12,"Customer return")</f>
        <v>0</v>
      </c>
      <c r="L8" s="7" t="n">
        <f aca="false">SUMIFS('Customer Invoices and Payments'!$F$91:$F$152,'Customer Invoices and Payments'!$D$91:$D$152,A8)</f>
        <v>82857.59</v>
      </c>
      <c r="M8" s="7" t="n">
        <f aca="false">I8-K8-L8</f>
        <v>0</v>
      </c>
      <c r="N8" s="5" t="str">
        <f aca="false">IF(ROUND(M8,2)=0,"Paid",IF(L8&gt;0,IF(J8&lt;DATE(2026,9,30),"Partial - overdue","Partially paid"),IF(J8&lt;DATE(2026,9,30),"Overdue","Open")))</f>
        <v>Paid</v>
      </c>
      <c r="O8" s="13" t="n">
        <f aca="false">IF(ROUND(M8,2)&gt;0,MAX(0,DATE(2026,9,30)-J8),0)</f>
        <v>0</v>
      </c>
    </row>
    <row r="9" customFormat="false" ht="15" hidden="false" customHeight="false" outlineLevel="0" collapsed="false">
      <c r="A9" s="5" t="s">
        <v>213</v>
      </c>
      <c r="B9" s="10" t="n">
        <v>46161</v>
      </c>
      <c r="C9" s="5" t="s">
        <v>189</v>
      </c>
      <c r="D9" s="5" t="s">
        <v>104</v>
      </c>
      <c r="E9" s="5" t="s">
        <v>105</v>
      </c>
      <c r="F9" s="5" t="s">
        <v>211</v>
      </c>
      <c r="G9" s="7" t="n">
        <v>69005.8</v>
      </c>
      <c r="H9" s="7" t="n">
        <v>9660.81</v>
      </c>
      <c r="I9" s="7" t="n">
        <f aca="false">G9+H9</f>
        <v>78666.61</v>
      </c>
      <c r="J9" s="10" t="n">
        <v>46191</v>
      </c>
      <c r="K9" s="7" t="n">
        <f aca="false">SUMIFS('Customer and Supplier Returns'!$S$2:$S$12,'Customer and Supplier Returns'!$G$2:$G$12,A9,'Customer and Supplier Returns'!$B$2:$B$12,"Customer return")</f>
        <v>0</v>
      </c>
      <c r="L9" s="7" t="n">
        <f aca="false">SUMIFS('Customer Invoices and Payments'!$F$91:$F$152,'Customer Invoices and Payments'!$D$91:$D$152,A9)</f>
        <v>78666.61</v>
      </c>
      <c r="M9" s="7" t="n">
        <f aca="false">I9-K9-L9</f>
        <v>0</v>
      </c>
      <c r="N9" s="5" t="str">
        <f aca="false">IF(ROUND(M9,2)=0,"Paid",IF(L9&gt;0,IF(J9&lt;DATE(2026,9,30),"Partial - overdue","Partially paid"),IF(J9&lt;DATE(2026,9,30),"Overdue","Open")))</f>
        <v>Paid</v>
      </c>
      <c r="O9" s="13" t="n">
        <f aca="false">IF(ROUND(M9,2)&gt;0,MAX(0,DATE(2026,9,30)-J9),0)</f>
        <v>0</v>
      </c>
    </row>
    <row r="10" customFormat="false" ht="15" hidden="false" customHeight="false" outlineLevel="0" collapsed="false">
      <c r="A10" s="5" t="s">
        <v>198</v>
      </c>
      <c r="B10" s="10" t="n">
        <v>46162</v>
      </c>
      <c r="C10" s="5" t="s">
        <v>189</v>
      </c>
      <c r="D10" s="5" t="s">
        <v>69</v>
      </c>
      <c r="E10" s="5" t="s">
        <v>70</v>
      </c>
      <c r="F10" s="5" t="s">
        <v>196</v>
      </c>
      <c r="G10" s="7" t="n">
        <v>121130</v>
      </c>
      <c r="H10" s="7" t="n">
        <v>16958.2</v>
      </c>
      <c r="I10" s="7" t="n">
        <f aca="false">G10+H10</f>
        <v>138088.2</v>
      </c>
      <c r="J10" s="10" t="n">
        <v>46177</v>
      </c>
      <c r="K10" s="7" t="n">
        <f aca="false">SUMIFS('Customer and Supplier Returns'!$S$2:$S$12,'Customer and Supplier Returns'!$G$2:$G$12,A10,'Customer and Supplier Returns'!$B$2:$B$12,"Customer return")</f>
        <v>2889.9</v>
      </c>
      <c r="L10" s="7" t="n">
        <f aca="false">SUMIFS('Customer Invoices and Payments'!$F$91:$F$152,'Customer Invoices and Payments'!$D$91:$D$152,A10)</f>
        <v>135198.3</v>
      </c>
      <c r="M10" s="7" t="n">
        <f aca="false">I10-K10-L10</f>
        <v>0</v>
      </c>
      <c r="N10" s="5" t="str">
        <f aca="false">IF(ROUND(M10,2)=0,"Paid",IF(L10&gt;0,IF(J10&lt;DATE(2026,9,30),"Partial - overdue","Partially paid"),IF(J10&lt;DATE(2026,9,30),"Overdue","Open")))</f>
        <v>Paid</v>
      </c>
      <c r="O10" s="13" t="n">
        <f aca="false">IF(ROUND(M10,2)&gt;0,MAX(0,DATE(2026,9,30)-J10),0)</f>
        <v>0</v>
      </c>
    </row>
    <row r="11" customFormat="false" ht="15" hidden="false" customHeight="false" outlineLevel="0" collapsed="false">
      <c r="A11" s="5" t="s">
        <v>216</v>
      </c>
      <c r="B11" s="10" t="n">
        <v>46166</v>
      </c>
      <c r="C11" s="5" t="s">
        <v>189</v>
      </c>
      <c r="D11" s="5" t="s">
        <v>126</v>
      </c>
      <c r="E11" s="5" t="s">
        <v>127</v>
      </c>
      <c r="F11" s="5" t="s">
        <v>214</v>
      </c>
      <c r="G11" s="7" t="n">
        <v>3065</v>
      </c>
      <c r="H11" s="7" t="n">
        <v>429.1</v>
      </c>
      <c r="I11" s="7" t="n">
        <f aca="false">G11+H11</f>
        <v>3494.1</v>
      </c>
      <c r="J11" s="10" t="n">
        <v>46166</v>
      </c>
      <c r="K11" s="7" t="n">
        <f aca="false">SUMIFS('Customer and Supplier Returns'!$S$2:$S$12,'Customer and Supplier Returns'!$G$2:$G$12,A11,'Customer and Supplier Returns'!$B$2:$B$12,"Customer return")</f>
        <v>0</v>
      </c>
      <c r="L11" s="7" t="n">
        <f aca="false">SUMIFS('Customer Invoices and Payments'!$F$91:$F$152,'Customer Invoices and Payments'!$D$91:$D$152,A11)</f>
        <v>3494.1</v>
      </c>
      <c r="M11" s="7" t="n">
        <f aca="false">I11-K11-L11</f>
        <v>0</v>
      </c>
      <c r="N11" s="5" t="str">
        <f aca="false">IF(ROUND(M11,2)=0,"Paid",IF(L11&gt;0,IF(J11&lt;DATE(2026,9,30),"Partial - overdue","Partially paid"),IF(J11&lt;DATE(2026,9,30),"Overdue","Open")))</f>
        <v>Paid</v>
      </c>
      <c r="O11" s="13" t="n">
        <f aca="false">IF(ROUND(M11,2)&gt;0,MAX(0,DATE(2026,9,30)-J11),0)</f>
        <v>0</v>
      </c>
    </row>
    <row r="12" customFormat="false" ht="15" hidden="false" customHeight="false" outlineLevel="0" collapsed="false">
      <c r="A12" s="5" t="s">
        <v>210</v>
      </c>
      <c r="B12" s="10" t="n">
        <v>46167</v>
      </c>
      <c r="C12" s="5" t="s">
        <v>189</v>
      </c>
      <c r="D12" s="5" t="s">
        <v>97</v>
      </c>
      <c r="E12" s="5" t="s">
        <v>98</v>
      </c>
      <c r="F12" s="5" t="s">
        <v>208</v>
      </c>
      <c r="G12" s="7" t="n">
        <v>90639.5</v>
      </c>
      <c r="H12" s="7" t="n">
        <v>12689.53</v>
      </c>
      <c r="I12" s="7" t="n">
        <f aca="false">G12+H12</f>
        <v>103329.03</v>
      </c>
      <c r="J12" s="10" t="n">
        <v>46227</v>
      </c>
      <c r="K12" s="7" t="n">
        <f aca="false">SUMIFS('Customer and Supplier Returns'!$S$2:$S$12,'Customer and Supplier Returns'!$G$2:$G$12,A12,'Customer and Supplier Returns'!$B$2:$B$12,"Customer return")</f>
        <v>0</v>
      </c>
      <c r="L12" s="7" t="n">
        <f aca="false">SUMIFS('Customer Invoices and Payments'!$F$91:$F$152,'Customer Invoices and Payments'!$D$91:$D$152,A12)</f>
        <v>103329.03</v>
      </c>
      <c r="M12" s="7" t="n">
        <f aca="false">I12-K12-L12</f>
        <v>0</v>
      </c>
      <c r="N12" s="5" t="str">
        <f aca="false">IF(ROUND(M12,2)=0,"Paid",IF(L12&gt;0,IF(J12&lt;DATE(2026,9,30),"Partial - overdue","Partially paid"),IF(J12&lt;DATE(2026,9,30),"Overdue","Open")))</f>
        <v>Paid</v>
      </c>
      <c r="O12" s="13" t="n">
        <f aca="false">IF(ROUND(M12,2)&gt;0,MAX(0,DATE(2026,9,30)-J12),0)</f>
        <v>0</v>
      </c>
    </row>
    <row r="13" customFormat="false" ht="15" hidden="false" customHeight="false" outlineLevel="0" collapsed="false">
      <c r="A13" s="5" t="s">
        <v>219</v>
      </c>
      <c r="B13" s="10" t="n">
        <v>46168</v>
      </c>
      <c r="C13" s="5" t="s">
        <v>189</v>
      </c>
      <c r="D13" s="5" t="s">
        <v>126</v>
      </c>
      <c r="E13" s="5" t="s">
        <v>127</v>
      </c>
      <c r="F13" s="5" t="s">
        <v>217</v>
      </c>
      <c r="G13" s="7" t="n">
        <v>920</v>
      </c>
      <c r="H13" s="7" t="n">
        <v>128.8</v>
      </c>
      <c r="I13" s="7" t="n">
        <f aca="false">G13+H13</f>
        <v>1048.8</v>
      </c>
      <c r="J13" s="10" t="n">
        <v>46168</v>
      </c>
      <c r="K13" s="7" t="n">
        <f aca="false">SUMIFS('Customer and Supplier Returns'!$S$2:$S$12,'Customer and Supplier Returns'!$G$2:$G$12,A13,'Customer and Supplier Returns'!$B$2:$B$12,"Customer return")</f>
        <v>0</v>
      </c>
      <c r="L13" s="7" t="n">
        <f aca="false">SUMIFS('Customer Invoices and Payments'!$F$91:$F$152,'Customer Invoices and Payments'!$D$91:$D$152,A13)</f>
        <v>1048.8</v>
      </c>
      <c r="M13" s="7" t="n">
        <f aca="false">I13-K13-L13</f>
        <v>0</v>
      </c>
      <c r="N13" s="5" t="str">
        <f aca="false">IF(ROUND(M13,2)=0,"Paid",IF(L13&gt;0,IF(J13&lt;DATE(2026,9,30),"Partial - overdue","Partially paid"),IF(J13&lt;DATE(2026,9,30),"Overdue","Open")))</f>
        <v>Paid</v>
      </c>
      <c r="O13" s="13" t="n">
        <f aca="false">IF(ROUND(M13,2)&gt;0,MAX(0,DATE(2026,9,30)-J13),0)</f>
        <v>0</v>
      </c>
    </row>
    <row r="14" customFormat="false" ht="15" hidden="false" customHeight="false" outlineLevel="0" collapsed="false">
      <c r="A14" s="5" t="s">
        <v>225</v>
      </c>
      <c r="B14" s="10" t="n">
        <v>46169</v>
      </c>
      <c r="C14" s="5" t="s">
        <v>189</v>
      </c>
      <c r="D14" s="5" t="s">
        <v>118</v>
      </c>
      <c r="E14" s="5" t="s">
        <v>119</v>
      </c>
      <c r="F14" s="5" t="s">
        <v>223</v>
      </c>
      <c r="G14" s="7" t="n">
        <v>129306</v>
      </c>
      <c r="H14" s="7" t="n">
        <v>18102.84</v>
      </c>
      <c r="I14" s="7" t="n">
        <f aca="false">G14+H14</f>
        <v>147408.84</v>
      </c>
      <c r="J14" s="10" t="n">
        <v>46199</v>
      </c>
      <c r="K14" s="7" t="n">
        <f aca="false">SUMIFS('Customer and Supplier Returns'!$S$2:$S$12,'Customer and Supplier Returns'!$G$2:$G$12,A14,'Customer and Supplier Returns'!$B$2:$B$12,"Customer return")</f>
        <v>0</v>
      </c>
      <c r="L14" s="7" t="n">
        <f aca="false">SUMIFS('Customer Invoices and Payments'!$F$91:$F$152,'Customer Invoices and Payments'!$D$91:$D$152,A14)</f>
        <v>147408.84</v>
      </c>
      <c r="M14" s="7" t="n">
        <f aca="false">I14-K14-L14</f>
        <v>0</v>
      </c>
      <c r="N14" s="5" t="str">
        <f aca="false">IF(ROUND(M14,2)=0,"Paid",IF(L14&gt;0,IF(J14&lt;DATE(2026,9,30),"Partial - overdue","Partially paid"),IF(J14&lt;DATE(2026,9,30),"Overdue","Open")))</f>
        <v>Paid</v>
      </c>
      <c r="O14" s="13" t="n">
        <f aca="false">IF(ROUND(M14,2)&gt;0,MAX(0,DATE(2026,9,30)-J14),0)</f>
        <v>0</v>
      </c>
    </row>
    <row r="15" customFormat="false" ht="15" hidden="false" customHeight="false" outlineLevel="0" collapsed="false">
      <c r="A15" s="5" t="s">
        <v>222</v>
      </c>
      <c r="B15" s="10" t="n">
        <v>46173</v>
      </c>
      <c r="C15" s="5" t="s">
        <v>189</v>
      </c>
      <c r="D15" s="5" t="s">
        <v>76</v>
      </c>
      <c r="E15" s="5" t="s">
        <v>77</v>
      </c>
      <c r="F15" s="5" t="s">
        <v>220</v>
      </c>
      <c r="G15" s="7" t="n">
        <v>85431.5</v>
      </c>
      <c r="H15" s="7" t="n">
        <v>11960.41</v>
      </c>
      <c r="I15" s="7" t="n">
        <f aca="false">G15+H15</f>
        <v>97391.91</v>
      </c>
      <c r="J15" s="10" t="n">
        <v>46203</v>
      </c>
      <c r="K15" s="7" t="n">
        <f aca="false">SUMIFS('Customer and Supplier Returns'!$S$2:$S$12,'Customer and Supplier Returns'!$G$2:$G$12,A15,'Customer and Supplier Returns'!$B$2:$B$12,"Customer return")</f>
        <v>0</v>
      </c>
      <c r="L15" s="7" t="n">
        <f aca="false">SUMIFS('Customer Invoices and Payments'!$F$91:$F$152,'Customer Invoices and Payments'!$D$91:$D$152,A15)</f>
        <v>97391.91</v>
      </c>
      <c r="M15" s="7" t="n">
        <f aca="false">I15-K15-L15</f>
        <v>0</v>
      </c>
      <c r="N15" s="5" t="str">
        <f aca="false">IF(ROUND(M15,2)=0,"Paid",IF(L15&gt;0,IF(J15&lt;DATE(2026,9,30),"Partial - overdue","Partially paid"),IF(J15&lt;DATE(2026,9,30),"Overdue","Open")))</f>
        <v>Paid</v>
      </c>
      <c r="O15" s="13" t="n">
        <f aca="false">IF(ROUND(M15,2)&gt;0,MAX(0,DATE(2026,9,30)-J15),0)</f>
        <v>0</v>
      </c>
    </row>
    <row r="16" customFormat="false" ht="15" hidden="false" customHeight="false" outlineLevel="0" collapsed="false">
      <c r="A16" s="5" t="s">
        <v>228</v>
      </c>
      <c r="B16" s="10" t="n">
        <v>46173</v>
      </c>
      <c r="C16" s="5" t="s">
        <v>189</v>
      </c>
      <c r="D16" s="5" t="s">
        <v>83</v>
      </c>
      <c r="E16" s="5" t="s">
        <v>84</v>
      </c>
      <c r="F16" s="5" t="s">
        <v>226</v>
      </c>
      <c r="G16" s="7" t="n">
        <v>33430</v>
      </c>
      <c r="H16" s="7" t="n">
        <v>4680.2</v>
      </c>
      <c r="I16" s="7" t="n">
        <f aca="false">G16+H16</f>
        <v>38110.2</v>
      </c>
      <c r="J16" s="10" t="n">
        <v>46233</v>
      </c>
      <c r="K16" s="7" t="n">
        <f aca="false">SUMIFS('Customer and Supplier Returns'!$S$2:$S$12,'Customer and Supplier Returns'!$G$2:$G$12,A16,'Customer and Supplier Returns'!$B$2:$B$12,"Customer return")</f>
        <v>0</v>
      </c>
      <c r="L16" s="7" t="n">
        <f aca="false">SUMIFS('Customer Invoices and Payments'!$F$91:$F$152,'Customer Invoices and Payments'!$D$91:$D$152,A16)</f>
        <v>38110.2</v>
      </c>
      <c r="M16" s="7" t="n">
        <f aca="false">I16-K16-L16</f>
        <v>0</v>
      </c>
      <c r="N16" s="5" t="str">
        <f aca="false">IF(ROUND(M16,2)=0,"Paid",IF(L16&gt;0,IF(J16&lt;DATE(2026,9,30),"Partial - overdue","Partially paid"),IF(J16&lt;DATE(2026,9,30),"Overdue","Open")))</f>
        <v>Paid</v>
      </c>
      <c r="O16" s="13" t="n">
        <f aca="false">IF(ROUND(M16,2)&gt;0,MAX(0,DATE(2026,9,30)-J16),0)</f>
        <v>0</v>
      </c>
    </row>
    <row r="17" customFormat="false" ht="15" hidden="false" customHeight="false" outlineLevel="0" collapsed="false">
      <c r="A17" s="5" t="s">
        <v>231</v>
      </c>
      <c r="B17" s="10" t="n">
        <v>46177</v>
      </c>
      <c r="C17" s="5" t="s">
        <v>239</v>
      </c>
      <c r="D17" s="5" t="s">
        <v>90</v>
      </c>
      <c r="E17" s="5" t="s">
        <v>91</v>
      </c>
      <c r="F17" s="5" t="s">
        <v>229</v>
      </c>
      <c r="G17" s="7" t="n">
        <v>87170</v>
      </c>
      <c r="H17" s="7" t="n">
        <v>12203.8</v>
      </c>
      <c r="I17" s="7" t="n">
        <f aca="false">G17+H17</f>
        <v>99373.8</v>
      </c>
      <c r="J17" s="10" t="n">
        <v>46192</v>
      </c>
      <c r="K17" s="7" t="n">
        <f aca="false">SUMIFS('Customer and Supplier Returns'!$S$2:$S$12,'Customer and Supplier Returns'!$G$2:$G$12,A17,'Customer and Supplier Returns'!$B$2:$B$12,"Customer return")</f>
        <v>0</v>
      </c>
      <c r="L17" s="7" t="n">
        <f aca="false">SUMIFS('Customer Invoices and Payments'!$F$91:$F$152,'Customer Invoices and Payments'!$D$91:$D$152,A17)</f>
        <v>99373.8</v>
      </c>
      <c r="M17" s="7" t="n">
        <f aca="false">I17-K17-L17</f>
        <v>0</v>
      </c>
      <c r="N17" s="5" t="str">
        <f aca="false">IF(ROUND(M17,2)=0,"Paid",IF(L17&gt;0,IF(J17&lt;DATE(2026,9,30),"Partial - overdue","Partially paid"),IF(J17&lt;DATE(2026,9,30),"Overdue","Open")))</f>
        <v>Paid</v>
      </c>
      <c r="O17" s="13" t="n">
        <f aca="false">IF(ROUND(M17,2)&gt;0,MAX(0,DATE(2026,9,30)-J17),0)</f>
        <v>0</v>
      </c>
    </row>
    <row r="18" customFormat="false" ht="15" hidden="false" customHeight="false" outlineLevel="0" collapsed="false">
      <c r="A18" s="5" t="s">
        <v>234</v>
      </c>
      <c r="B18" s="10" t="n">
        <v>46180</v>
      </c>
      <c r="C18" s="5" t="s">
        <v>239</v>
      </c>
      <c r="D18" s="5" t="s">
        <v>111</v>
      </c>
      <c r="E18" s="5" t="s">
        <v>112</v>
      </c>
      <c r="F18" s="5" t="s">
        <v>232</v>
      </c>
      <c r="G18" s="7" t="n">
        <v>56448</v>
      </c>
      <c r="H18" s="7" t="n">
        <v>7902.72</v>
      </c>
      <c r="I18" s="7" t="n">
        <f aca="false">G18+H18</f>
        <v>64350.72</v>
      </c>
      <c r="J18" s="10" t="n">
        <v>46225</v>
      </c>
      <c r="K18" s="7" t="n">
        <f aca="false">SUMIFS('Customer and Supplier Returns'!$S$2:$S$12,'Customer and Supplier Returns'!$G$2:$G$12,A18,'Customer and Supplier Returns'!$B$2:$B$12,"Customer return")</f>
        <v>0</v>
      </c>
      <c r="L18" s="7" t="n">
        <f aca="false">SUMIFS('Customer Invoices and Payments'!$F$91:$F$152,'Customer Invoices and Payments'!$D$91:$D$152,A18)</f>
        <v>38610</v>
      </c>
      <c r="M18" s="7" t="n">
        <f aca="false">I18-K18-L18</f>
        <v>25740.72</v>
      </c>
      <c r="N18" s="5" t="str">
        <f aca="false">IF(ROUND(M18,2)=0,"Paid",IF(L18&gt;0,IF(J18&lt;DATE(2026,9,30),"Partial - overdue","Partially paid"),IF(J18&lt;DATE(2026,9,30),"Overdue","Open")))</f>
        <v>Partial - overdue</v>
      </c>
      <c r="O18" s="13" t="n">
        <f aca="false">IF(ROUND(M18,2)&gt;0,MAX(0,DATE(2026,9,30)-J18),0)</f>
        <v>70</v>
      </c>
    </row>
    <row r="19" customFormat="false" ht="15" hidden="false" customHeight="false" outlineLevel="0" collapsed="false">
      <c r="A19" s="5" t="s">
        <v>237</v>
      </c>
      <c r="B19" s="10" t="n">
        <v>46180</v>
      </c>
      <c r="C19" s="5" t="s">
        <v>239</v>
      </c>
      <c r="D19" s="5" t="s">
        <v>62</v>
      </c>
      <c r="E19" s="5" t="s">
        <v>63</v>
      </c>
      <c r="F19" s="5" t="s">
        <v>235</v>
      </c>
      <c r="G19" s="7" t="n">
        <v>90803.64</v>
      </c>
      <c r="H19" s="7" t="n">
        <v>12712.51</v>
      </c>
      <c r="I19" s="7" t="n">
        <f aca="false">G19+H19</f>
        <v>103516.15</v>
      </c>
      <c r="J19" s="10" t="n">
        <v>46210</v>
      </c>
      <c r="K19" s="7" t="n">
        <f aca="false">SUMIFS('Customer and Supplier Returns'!$S$2:$S$12,'Customer and Supplier Returns'!$G$2:$G$12,A19,'Customer and Supplier Returns'!$B$2:$B$12,"Customer return")</f>
        <v>0</v>
      </c>
      <c r="L19" s="7" t="n">
        <f aca="false">SUMIFS('Customer Invoices and Payments'!$F$91:$F$152,'Customer Invoices and Payments'!$D$91:$D$152,A19)</f>
        <v>103516.15</v>
      </c>
      <c r="M19" s="7" t="n">
        <f aca="false">I19-K19-L19</f>
        <v>0</v>
      </c>
      <c r="N19" s="5" t="str">
        <f aca="false">IF(ROUND(M19,2)=0,"Paid",IF(L19&gt;0,IF(J19&lt;DATE(2026,9,30),"Partial - overdue","Partially paid"),IF(J19&lt;DATE(2026,9,30),"Overdue","Open")))</f>
        <v>Paid</v>
      </c>
      <c r="O19" s="13" t="n">
        <f aca="false">IF(ROUND(M19,2)&gt;0,MAX(0,DATE(2026,9,30)-J19),0)</f>
        <v>0</v>
      </c>
    </row>
    <row r="20" customFormat="false" ht="15" hidden="false" customHeight="false" outlineLevel="0" collapsed="false">
      <c r="A20" s="5" t="s">
        <v>244</v>
      </c>
      <c r="B20" s="10" t="n">
        <v>46181</v>
      </c>
      <c r="C20" s="5" t="s">
        <v>239</v>
      </c>
      <c r="D20" s="5" t="s">
        <v>126</v>
      </c>
      <c r="E20" s="5" t="s">
        <v>127</v>
      </c>
      <c r="F20" s="5" t="s">
        <v>242</v>
      </c>
      <c r="G20" s="7" t="n">
        <v>3417</v>
      </c>
      <c r="H20" s="7" t="n">
        <v>478.38</v>
      </c>
      <c r="I20" s="7" t="n">
        <f aca="false">G20+H20</f>
        <v>3895.38</v>
      </c>
      <c r="J20" s="10" t="n">
        <v>46181</v>
      </c>
      <c r="K20" s="7" t="n">
        <f aca="false">SUMIFS('Customer and Supplier Returns'!$S$2:$S$12,'Customer and Supplier Returns'!$G$2:$G$12,A20,'Customer and Supplier Returns'!$B$2:$B$12,"Customer return")</f>
        <v>0</v>
      </c>
      <c r="L20" s="7" t="n">
        <f aca="false">SUMIFS('Customer Invoices and Payments'!$F$91:$F$152,'Customer Invoices and Payments'!$D$91:$D$152,A20)</f>
        <v>3895.38</v>
      </c>
      <c r="M20" s="7" t="n">
        <f aca="false">I20-K20-L20</f>
        <v>0</v>
      </c>
      <c r="N20" s="5" t="str">
        <f aca="false">IF(ROUND(M20,2)=0,"Paid",IF(L20&gt;0,IF(J20&lt;DATE(2026,9,30),"Partial - overdue","Partially paid"),IF(J20&lt;DATE(2026,9,30),"Overdue","Open")))</f>
        <v>Paid</v>
      </c>
      <c r="O20" s="13" t="n">
        <f aca="false">IF(ROUND(M20,2)&gt;0,MAX(0,DATE(2026,9,30)-J20),0)</f>
        <v>0</v>
      </c>
    </row>
    <row r="21" customFormat="false" ht="15" hidden="false" customHeight="false" outlineLevel="0" collapsed="false">
      <c r="A21" s="5" t="s">
        <v>241</v>
      </c>
      <c r="B21" s="10" t="n">
        <v>46183</v>
      </c>
      <c r="C21" s="5" t="s">
        <v>239</v>
      </c>
      <c r="D21" s="5" t="s">
        <v>111</v>
      </c>
      <c r="E21" s="5" t="s">
        <v>112</v>
      </c>
      <c r="F21" s="5" t="s">
        <v>238</v>
      </c>
      <c r="G21" s="7" t="n">
        <v>220500</v>
      </c>
      <c r="H21" s="7" t="n">
        <v>30870</v>
      </c>
      <c r="I21" s="7" t="n">
        <f aca="false">G21+H21</f>
        <v>251370</v>
      </c>
      <c r="J21" s="10" t="n">
        <v>46228</v>
      </c>
      <c r="K21" s="7" t="n">
        <f aca="false">SUMIFS('Customer and Supplier Returns'!$S$2:$S$12,'Customer and Supplier Returns'!$G$2:$G$12,A21,'Customer and Supplier Returns'!$B$2:$B$12,"Customer return")</f>
        <v>0</v>
      </c>
      <c r="L21" s="7" t="n">
        <f aca="false">SUMIFS('Customer Invoices and Payments'!$F$91:$F$152,'Customer Invoices and Payments'!$D$91:$D$152,A21)</f>
        <v>251370</v>
      </c>
      <c r="M21" s="7" t="n">
        <f aca="false">I21-K21-L21</f>
        <v>0</v>
      </c>
      <c r="N21" s="5" t="str">
        <f aca="false">IF(ROUND(M21,2)=0,"Paid",IF(L21&gt;0,IF(J21&lt;DATE(2026,9,30),"Partial - overdue","Partially paid"),IF(J21&lt;DATE(2026,9,30),"Overdue","Open")))</f>
        <v>Paid</v>
      </c>
      <c r="O21" s="13" t="n">
        <f aca="false">IF(ROUND(M21,2)&gt;0,MAX(0,DATE(2026,9,30)-J21),0)</f>
        <v>0</v>
      </c>
    </row>
    <row r="22" customFormat="false" ht="15" hidden="false" customHeight="false" outlineLevel="0" collapsed="false">
      <c r="A22" s="5" t="s">
        <v>247</v>
      </c>
      <c r="B22" s="10" t="n">
        <v>46183</v>
      </c>
      <c r="C22" s="5" t="s">
        <v>239</v>
      </c>
      <c r="D22" s="5" t="s">
        <v>76</v>
      </c>
      <c r="E22" s="5" t="s">
        <v>77</v>
      </c>
      <c r="F22" s="5" t="s">
        <v>245</v>
      </c>
      <c r="G22" s="7" t="n">
        <v>79002.7</v>
      </c>
      <c r="H22" s="7" t="n">
        <v>11060.38</v>
      </c>
      <c r="I22" s="7" t="n">
        <f aca="false">G22+H22</f>
        <v>90063.08</v>
      </c>
      <c r="J22" s="10" t="n">
        <v>46213</v>
      </c>
      <c r="K22" s="7" t="n">
        <f aca="false">SUMIFS('Customer and Supplier Returns'!$S$2:$S$12,'Customer and Supplier Returns'!$G$2:$G$12,A22,'Customer and Supplier Returns'!$B$2:$B$12,"Customer return")</f>
        <v>0</v>
      </c>
      <c r="L22" s="7" t="n">
        <f aca="false">SUMIFS('Customer Invoices and Payments'!$F$91:$F$152,'Customer Invoices and Payments'!$D$91:$D$152,A22)</f>
        <v>90063.08</v>
      </c>
      <c r="M22" s="7" t="n">
        <f aca="false">I22-K22-L22</f>
        <v>0</v>
      </c>
      <c r="N22" s="5" t="str">
        <f aca="false">IF(ROUND(M22,2)=0,"Paid",IF(L22&gt;0,IF(J22&lt;DATE(2026,9,30),"Partial - overdue","Partially paid"),IF(J22&lt;DATE(2026,9,30),"Overdue","Open")))</f>
        <v>Paid</v>
      </c>
      <c r="O22" s="13" t="n">
        <f aca="false">IF(ROUND(M22,2)&gt;0,MAX(0,DATE(2026,9,30)-J22),0)</f>
        <v>0</v>
      </c>
    </row>
    <row r="23" customFormat="false" ht="15" hidden="false" customHeight="false" outlineLevel="0" collapsed="false">
      <c r="A23" s="5" t="s">
        <v>253</v>
      </c>
      <c r="B23" s="10" t="n">
        <v>46183</v>
      </c>
      <c r="C23" s="5" t="s">
        <v>239</v>
      </c>
      <c r="D23" s="5" t="s">
        <v>126</v>
      </c>
      <c r="E23" s="5" t="s">
        <v>127</v>
      </c>
      <c r="F23" s="5" t="s">
        <v>251</v>
      </c>
      <c r="G23" s="7" t="n">
        <v>2595</v>
      </c>
      <c r="H23" s="7" t="n">
        <v>363.3</v>
      </c>
      <c r="I23" s="7" t="n">
        <f aca="false">G23+H23</f>
        <v>2958.3</v>
      </c>
      <c r="J23" s="10" t="n">
        <v>46183</v>
      </c>
      <c r="K23" s="7" t="n">
        <f aca="false">SUMIFS('Customer and Supplier Returns'!$S$2:$S$12,'Customer and Supplier Returns'!$G$2:$G$12,A23,'Customer and Supplier Returns'!$B$2:$B$12,"Customer return")</f>
        <v>0</v>
      </c>
      <c r="L23" s="7" t="n">
        <f aca="false">SUMIFS('Customer Invoices and Payments'!$F$91:$F$152,'Customer Invoices and Payments'!$D$91:$D$152,A23)</f>
        <v>2958.3</v>
      </c>
      <c r="M23" s="7" t="n">
        <f aca="false">I23-K23-L23</f>
        <v>0</v>
      </c>
      <c r="N23" s="5" t="str">
        <f aca="false">IF(ROUND(M23,2)=0,"Paid",IF(L23&gt;0,IF(J23&lt;DATE(2026,9,30),"Partial - overdue","Partially paid"),IF(J23&lt;DATE(2026,9,30),"Overdue","Open")))</f>
        <v>Paid</v>
      </c>
      <c r="O23" s="13" t="n">
        <f aca="false">IF(ROUND(M23,2)&gt;0,MAX(0,DATE(2026,9,30)-J23),0)</f>
        <v>0</v>
      </c>
    </row>
    <row r="24" customFormat="false" ht="15" hidden="false" customHeight="false" outlineLevel="0" collapsed="false">
      <c r="A24" s="5" t="s">
        <v>259</v>
      </c>
      <c r="B24" s="10" t="n">
        <v>46183</v>
      </c>
      <c r="C24" s="5" t="s">
        <v>239</v>
      </c>
      <c r="D24" s="5" t="s">
        <v>126</v>
      </c>
      <c r="E24" s="5" t="s">
        <v>127</v>
      </c>
      <c r="F24" s="5" t="s">
        <v>257</v>
      </c>
      <c r="G24" s="7" t="n">
        <v>1610</v>
      </c>
      <c r="H24" s="7" t="n">
        <v>225.4</v>
      </c>
      <c r="I24" s="7" t="n">
        <f aca="false">G24+H24</f>
        <v>1835.4</v>
      </c>
      <c r="J24" s="10" t="n">
        <v>46183</v>
      </c>
      <c r="K24" s="7" t="n">
        <f aca="false">SUMIFS('Customer and Supplier Returns'!$S$2:$S$12,'Customer and Supplier Returns'!$G$2:$G$12,A24,'Customer and Supplier Returns'!$B$2:$B$12,"Customer return")</f>
        <v>0</v>
      </c>
      <c r="L24" s="7" t="n">
        <f aca="false">SUMIFS('Customer Invoices and Payments'!$F$91:$F$152,'Customer Invoices and Payments'!$D$91:$D$152,A24)</f>
        <v>1835.4</v>
      </c>
      <c r="M24" s="7" t="n">
        <f aca="false">I24-K24-L24</f>
        <v>0</v>
      </c>
      <c r="N24" s="5" t="str">
        <f aca="false">IF(ROUND(M24,2)=0,"Paid",IF(L24&gt;0,IF(J24&lt;DATE(2026,9,30),"Partial - overdue","Partially paid"),IF(J24&lt;DATE(2026,9,30),"Overdue","Open")))</f>
        <v>Paid</v>
      </c>
      <c r="O24" s="13" t="n">
        <f aca="false">IF(ROUND(M24,2)&gt;0,MAX(0,DATE(2026,9,30)-J24),0)</f>
        <v>0</v>
      </c>
    </row>
    <row r="25" customFormat="false" ht="15" hidden="false" customHeight="false" outlineLevel="0" collapsed="false">
      <c r="A25" s="5" t="s">
        <v>250</v>
      </c>
      <c r="B25" s="10" t="n">
        <v>46184</v>
      </c>
      <c r="C25" s="5" t="s">
        <v>239</v>
      </c>
      <c r="D25" s="5" t="s">
        <v>47</v>
      </c>
      <c r="E25" s="5" t="s">
        <v>48</v>
      </c>
      <c r="F25" s="5" t="s">
        <v>248</v>
      </c>
      <c r="G25" s="7" t="n">
        <v>113679.15</v>
      </c>
      <c r="H25" s="7" t="n">
        <v>15915.08</v>
      </c>
      <c r="I25" s="7" t="n">
        <f aca="false">G25+H25</f>
        <v>129594.23</v>
      </c>
      <c r="J25" s="10" t="n">
        <v>46229</v>
      </c>
      <c r="K25" s="7" t="n">
        <f aca="false">SUMIFS('Customer and Supplier Returns'!$S$2:$S$12,'Customer and Supplier Returns'!$G$2:$G$12,A25,'Customer and Supplier Returns'!$B$2:$B$12,"Customer return")</f>
        <v>26539.2</v>
      </c>
      <c r="L25" s="7" t="n">
        <f aca="false">SUMIFS('Customer Invoices and Payments'!$F$91:$F$152,'Customer Invoices and Payments'!$D$91:$D$152,A25)</f>
        <v>103055.03</v>
      </c>
      <c r="M25" s="7" t="n">
        <f aca="false">I25-K25-L25</f>
        <v>0</v>
      </c>
      <c r="N25" s="5" t="str">
        <f aca="false">IF(ROUND(M25,2)=0,"Paid",IF(L25&gt;0,IF(J25&lt;DATE(2026,9,30),"Partial - overdue","Partially paid"),IF(J25&lt;DATE(2026,9,30),"Overdue","Open")))</f>
        <v>Paid</v>
      </c>
      <c r="O25" s="13" t="n">
        <f aca="false">IF(ROUND(M25,2)&gt;0,MAX(0,DATE(2026,9,30)-J25),0)</f>
        <v>0</v>
      </c>
    </row>
    <row r="26" customFormat="false" ht="15" hidden="false" customHeight="false" outlineLevel="0" collapsed="false">
      <c r="A26" s="5" t="s">
        <v>256</v>
      </c>
      <c r="B26" s="10" t="n">
        <v>46189</v>
      </c>
      <c r="C26" s="5" t="s">
        <v>239</v>
      </c>
      <c r="D26" s="5" t="s">
        <v>104</v>
      </c>
      <c r="E26" s="5" t="s">
        <v>105</v>
      </c>
      <c r="F26" s="5" t="s">
        <v>254</v>
      </c>
      <c r="G26" s="7" t="n">
        <v>103984</v>
      </c>
      <c r="H26" s="7" t="n">
        <v>14557.76</v>
      </c>
      <c r="I26" s="7" t="n">
        <f aca="false">G26+H26</f>
        <v>118541.76</v>
      </c>
      <c r="J26" s="10" t="n">
        <v>46219</v>
      </c>
      <c r="K26" s="7" t="n">
        <f aca="false">SUMIFS('Customer and Supplier Returns'!$S$2:$S$12,'Customer and Supplier Returns'!$G$2:$G$12,A26,'Customer and Supplier Returns'!$B$2:$B$12,"Customer return")</f>
        <v>0</v>
      </c>
      <c r="L26" s="7" t="n">
        <f aca="false">SUMIFS('Customer Invoices and Payments'!$F$91:$F$152,'Customer Invoices and Payments'!$D$91:$D$152,A26)</f>
        <v>118541.76</v>
      </c>
      <c r="M26" s="7" t="n">
        <f aca="false">I26-K26-L26</f>
        <v>0</v>
      </c>
      <c r="N26" s="5" t="str">
        <f aca="false">IF(ROUND(M26,2)=0,"Paid",IF(L26&gt;0,IF(J26&lt;DATE(2026,9,30),"Partial - overdue","Partially paid"),IF(J26&lt;DATE(2026,9,30),"Overdue","Open")))</f>
        <v>Paid</v>
      </c>
      <c r="O26" s="13" t="n">
        <f aca="false">IF(ROUND(M26,2)&gt;0,MAX(0,DATE(2026,9,30)-J26),0)</f>
        <v>0</v>
      </c>
    </row>
    <row r="27" customFormat="false" ht="15" hidden="false" customHeight="false" outlineLevel="0" collapsed="false">
      <c r="A27" s="5" t="s">
        <v>262</v>
      </c>
      <c r="B27" s="10" t="n">
        <v>46191</v>
      </c>
      <c r="C27" s="5" t="s">
        <v>239</v>
      </c>
      <c r="D27" s="5" t="s">
        <v>118</v>
      </c>
      <c r="E27" s="5" t="s">
        <v>119</v>
      </c>
      <c r="F27" s="5" t="s">
        <v>260</v>
      </c>
      <c r="G27" s="7" t="n">
        <v>27000</v>
      </c>
      <c r="H27" s="7" t="n">
        <v>3780</v>
      </c>
      <c r="I27" s="7" t="n">
        <f aca="false">G27+H27</f>
        <v>30780</v>
      </c>
      <c r="J27" s="10" t="n">
        <v>46221</v>
      </c>
      <c r="K27" s="7" t="n">
        <f aca="false">SUMIFS('Customer and Supplier Returns'!$S$2:$S$12,'Customer and Supplier Returns'!$G$2:$G$12,A27,'Customer and Supplier Returns'!$B$2:$B$12,"Customer return")</f>
        <v>0</v>
      </c>
      <c r="L27" s="7" t="n">
        <f aca="false">SUMIFS('Customer Invoices and Payments'!$F$91:$F$152,'Customer Invoices and Payments'!$D$91:$D$152,A27)</f>
        <v>30780</v>
      </c>
      <c r="M27" s="7" t="n">
        <f aca="false">I27-K27-L27</f>
        <v>0</v>
      </c>
      <c r="N27" s="5" t="str">
        <f aca="false">IF(ROUND(M27,2)=0,"Paid",IF(L27&gt;0,IF(J27&lt;DATE(2026,9,30),"Partial - overdue","Partially paid"),IF(J27&lt;DATE(2026,9,30),"Overdue","Open")))</f>
        <v>Paid</v>
      </c>
      <c r="O27" s="13" t="n">
        <f aca="false">IF(ROUND(M27,2)&gt;0,MAX(0,DATE(2026,9,30)-J27),0)</f>
        <v>0</v>
      </c>
    </row>
    <row r="28" customFormat="false" ht="15" hidden="false" customHeight="false" outlineLevel="0" collapsed="false">
      <c r="A28" s="5" t="s">
        <v>265</v>
      </c>
      <c r="B28" s="10" t="n">
        <v>46194</v>
      </c>
      <c r="C28" s="5" t="s">
        <v>239</v>
      </c>
      <c r="D28" s="5" t="s">
        <v>90</v>
      </c>
      <c r="E28" s="5" t="s">
        <v>91</v>
      </c>
      <c r="F28" s="5" t="s">
        <v>263</v>
      </c>
      <c r="G28" s="7" t="n">
        <v>127095</v>
      </c>
      <c r="H28" s="7" t="n">
        <v>17793.3</v>
      </c>
      <c r="I28" s="7" t="n">
        <f aca="false">G28+H28</f>
        <v>144888.3</v>
      </c>
      <c r="J28" s="10" t="n">
        <v>46209</v>
      </c>
      <c r="K28" s="7" t="n">
        <f aca="false">SUMIFS('Customer and Supplier Returns'!$S$2:$S$12,'Customer and Supplier Returns'!$G$2:$G$12,A28,'Customer and Supplier Returns'!$B$2:$B$12,"Customer return")</f>
        <v>0</v>
      </c>
      <c r="L28" s="7" t="n">
        <f aca="false">SUMIFS('Customer Invoices and Payments'!$F$91:$F$152,'Customer Invoices and Payments'!$D$91:$D$152,A28)</f>
        <v>144888.3</v>
      </c>
      <c r="M28" s="7" t="n">
        <f aca="false">I28-K28-L28</f>
        <v>0</v>
      </c>
      <c r="N28" s="5" t="str">
        <f aca="false">IF(ROUND(M28,2)=0,"Paid",IF(L28&gt;0,IF(J28&lt;DATE(2026,9,30),"Partial - overdue","Partially paid"),IF(J28&lt;DATE(2026,9,30),"Overdue","Open")))</f>
        <v>Paid</v>
      </c>
      <c r="O28" s="13" t="n">
        <f aca="false">IF(ROUND(M28,2)&gt;0,MAX(0,DATE(2026,9,30)-J28),0)</f>
        <v>0</v>
      </c>
    </row>
    <row r="29" customFormat="false" ht="15" hidden="false" customHeight="false" outlineLevel="0" collapsed="false">
      <c r="A29" s="5" t="s">
        <v>268</v>
      </c>
      <c r="B29" s="10" t="n">
        <v>46196</v>
      </c>
      <c r="C29" s="5" t="s">
        <v>239</v>
      </c>
      <c r="D29" s="5" t="s">
        <v>55</v>
      </c>
      <c r="E29" s="5" t="s">
        <v>56</v>
      </c>
      <c r="F29" s="5" t="s">
        <v>266</v>
      </c>
      <c r="G29" s="7" t="n">
        <v>114954</v>
      </c>
      <c r="H29" s="7" t="n">
        <v>16093.56</v>
      </c>
      <c r="I29" s="7" t="n">
        <f aca="false">G29+H29</f>
        <v>131047.56</v>
      </c>
      <c r="J29" s="10" t="n">
        <v>46241</v>
      </c>
      <c r="K29" s="7" t="n">
        <f aca="false">SUMIFS('Customer and Supplier Returns'!$S$2:$S$12,'Customer and Supplier Returns'!$G$2:$G$12,A29,'Customer and Supplier Returns'!$B$2:$B$12,"Customer return")</f>
        <v>0</v>
      </c>
      <c r="L29" s="7" t="n">
        <f aca="false">SUMIFS('Customer Invoices and Payments'!$F$91:$F$152,'Customer Invoices and Payments'!$D$91:$D$152,A29)</f>
        <v>131047.56</v>
      </c>
      <c r="M29" s="7" t="n">
        <f aca="false">I29-K29-L29</f>
        <v>0</v>
      </c>
      <c r="N29" s="5" t="str">
        <f aca="false">IF(ROUND(M29,2)=0,"Paid",IF(L29&gt;0,IF(J29&lt;DATE(2026,9,30),"Partial - overdue","Partially paid"),IF(J29&lt;DATE(2026,9,30),"Overdue","Open")))</f>
        <v>Paid</v>
      </c>
      <c r="O29" s="13" t="n">
        <f aca="false">IF(ROUND(M29,2)&gt;0,MAX(0,DATE(2026,9,30)-J29),0)</f>
        <v>0</v>
      </c>
    </row>
    <row r="30" customFormat="false" ht="15" hidden="false" customHeight="false" outlineLevel="0" collapsed="false">
      <c r="A30" s="5" t="s">
        <v>271</v>
      </c>
      <c r="B30" s="10" t="n">
        <v>46196</v>
      </c>
      <c r="C30" s="5" t="s">
        <v>239</v>
      </c>
      <c r="D30" s="5" t="s">
        <v>126</v>
      </c>
      <c r="E30" s="5" t="s">
        <v>127</v>
      </c>
      <c r="F30" s="5" t="s">
        <v>269</v>
      </c>
      <c r="G30" s="7" t="n">
        <v>2530</v>
      </c>
      <c r="H30" s="7" t="n">
        <v>354.2</v>
      </c>
      <c r="I30" s="7" t="n">
        <f aca="false">G30+H30</f>
        <v>2884.2</v>
      </c>
      <c r="J30" s="10" t="n">
        <v>46196</v>
      </c>
      <c r="K30" s="7" t="n">
        <f aca="false">SUMIFS('Customer and Supplier Returns'!$S$2:$S$12,'Customer and Supplier Returns'!$G$2:$G$12,A30,'Customer and Supplier Returns'!$B$2:$B$12,"Customer return")</f>
        <v>0</v>
      </c>
      <c r="L30" s="7" t="n">
        <f aca="false">SUMIFS('Customer Invoices and Payments'!$F$91:$F$152,'Customer Invoices and Payments'!$D$91:$D$152,A30)</f>
        <v>2884.2</v>
      </c>
      <c r="M30" s="7" t="n">
        <f aca="false">I30-K30-L30</f>
        <v>0</v>
      </c>
      <c r="N30" s="5" t="str">
        <f aca="false">IF(ROUND(M30,2)=0,"Paid",IF(L30&gt;0,IF(J30&lt;DATE(2026,9,30),"Partial - overdue","Partially paid"),IF(J30&lt;DATE(2026,9,30),"Overdue","Open")))</f>
        <v>Paid</v>
      </c>
      <c r="O30" s="13" t="n">
        <f aca="false">IF(ROUND(M30,2)&gt;0,MAX(0,DATE(2026,9,30)-J30),0)</f>
        <v>0</v>
      </c>
    </row>
    <row r="31" customFormat="false" ht="15" hidden="false" customHeight="false" outlineLevel="0" collapsed="false">
      <c r="A31" s="5" t="s">
        <v>274</v>
      </c>
      <c r="B31" s="10" t="n">
        <v>46201</v>
      </c>
      <c r="C31" s="5" t="s">
        <v>239</v>
      </c>
      <c r="D31" s="5" t="s">
        <v>69</v>
      </c>
      <c r="E31" s="5" t="s">
        <v>70</v>
      </c>
      <c r="F31" s="5" t="s">
        <v>272</v>
      </c>
      <c r="G31" s="7" t="n">
        <v>48150</v>
      </c>
      <c r="H31" s="7" t="n">
        <v>6741</v>
      </c>
      <c r="I31" s="7" t="n">
        <f aca="false">G31+H31</f>
        <v>54891</v>
      </c>
      <c r="J31" s="10" t="n">
        <v>46216</v>
      </c>
      <c r="K31" s="7" t="n">
        <f aca="false">SUMIFS('Customer and Supplier Returns'!$S$2:$S$12,'Customer and Supplier Returns'!$G$2:$G$12,A31,'Customer and Supplier Returns'!$B$2:$B$12,"Customer return")</f>
        <v>1995</v>
      </c>
      <c r="L31" s="7" t="n">
        <f aca="false">SUMIFS('Customer Invoices and Payments'!$F$91:$F$152,'Customer Invoices and Payments'!$D$91:$D$152,A31)</f>
        <v>52896</v>
      </c>
      <c r="M31" s="7" t="n">
        <f aca="false">I31-K31-L31</f>
        <v>0</v>
      </c>
      <c r="N31" s="5" t="str">
        <f aca="false">IF(ROUND(M31,2)=0,"Paid",IF(L31&gt;0,IF(J31&lt;DATE(2026,9,30),"Partial - overdue","Partially paid"),IF(J31&lt;DATE(2026,9,30),"Overdue","Open")))</f>
        <v>Paid</v>
      </c>
      <c r="O31" s="13" t="n">
        <f aca="false">IF(ROUND(M31,2)&gt;0,MAX(0,DATE(2026,9,30)-J31),0)</f>
        <v>0</v>
      </c>
    </row>
    <row r="32" customFormat="false" ht="15" hidden="false" customHeight="false" outlineLevel="0" collapsed="false">
      <c r="A32" s="5" t="s">
        <v>280</v>
      </c>
      <c r="B32" s="10" t="n">
        <v>46203</v>
      </c>
      <c r="C32" s="5" t="s">
        <v>239</v>
      </c>
      <c r="D32" s="5" t="s">
        <v>83</v>
      </c>
      <c r="E32" s="5" t="s">
        <v>84</v>
      </c>
      <c r="F32" s="5" t="s">
        <v>278</v>
      </c>
      <c r="G32" s="7" t="n">
        <v>36110</v>
      </c>
      <c r="H32" s="7" t="n">
        <v>5055.4</v>
      </c>
      <c r="I32" s="7" t="n">
        <f aca="false">G32+H32</f>
        <v>41165.4</v>
      </c>
      <c r="J32" s="10" t="n">
        <v>46263</v>
      </c>
      <c r="K32" s="7" t="n">
        <f aca="false">SUMIFS('Customer and Supplier Returns'!$S$2:$S$12,'Customer and Supplier Returns'!$G$2:$G$12,A32,'Customer and Supplier Returns'!$B$2:$B$12,"Customer return")</f>
        <v>0</v>
      </c>
      <c r="L32" s="7" t="n">
        <f aca="false">SUMIFS('Customer Invoices and Payments'!$F$91:$F$152,'Customer Invoices and Payments'!$D$91:$D$152,A32)</f>
        <v>41165.4</v>
      </c>
      <c r="M32" s="7" t="n">
        <f aca="false">I32-K32-L32</f>
        <v>0</v>
      </c>
      <c r="N32" s="5" t="str">
        <f aca="false">IF(ROUND(M32,2)=0,"Paid",IF(L32&gt;0,IF(J32&lt;DATE(2026,9,30),"Partial - overdue","Partially paid"),IF(J32&lt;DATE(2026,9,30),"Overdue","Open")))</f>
        <v>Paid</v>
      </c>
      <c r="O32" s="13" t="n">
        <f aca="false">IF(ROUND(M32,2)&gt;0,MAX(0,DATE(2026,9,30)-J32),0)</f>
        <v>0</v>
      </c>
    </row>
    <row r="33" customFormat="false" ht="15" hidden="false" customHeight="false" outlineLevel="0" collapsed="false">
      <c r="A33" s="5" t="s">
        <v>283</v>
      </c>
      <c r="B33" s="10" t="n">
        <v>46205</v>
      </c>
      <c r="C33" s="5" t="s">
        <v>288</v>
      </c>
      <c r="D33" s="5" t="s">
        <v>38</v>
      </c>
      <c r="E33" s="5" t="s">
        <v>39</v>
      </c>
      <c r="F33" s="5" t="s">
        <v>281</v>
      </c>
      <c r="G33" s="7" t="n">
        <v>54484.9</v>
      </c>
      <c r="H33" s="7" t="n">
        <v>7627.89</v>
      </c>
      <c r="I33" s="7" t="n">
        <f aca="false">G33+H33</f>
        <v>62112.79</v>
      </c>
      <c r="J33" s="10" t="n">
        <v>46235</v>
      </c>
      <c r="K33" s="7" t="n">
        <f aca="false">SUMIFS('Customer and Supplier Returns'!$S$2:$S$12,'Customer and Supplier Returns'!$G$2:$G$12,A33,'Customer and Supplier Returns'!$B$2:$B$12,"Customer return")</f>
        <v>939.93</v>
      </c>
      <c r="L33" s="7" t="n">
        <f aca="false">SUMIFS('Customer Invoices and Payments'!$F$91:$F$152,'Customer Invoices and Payments'!$D$91:$D$152,A33)</f>
        <v>61172.86</v>
      </c>
      <c r="M33" s="7" t="n">
        <f aca="false">I33-K33-L33</f>
        <v>0</v>
      </c>
      <c r="N33" s="5" t="str">
        <f aca="false">IF(ROUND(M33,2)=0,"Paid",IF(L33&gt;0,IF(J33&lt;DATE(2026,9,30),"Partial - overdue","Partially paid"),IF(J33&lt;DATE(2026,9,30),"Overdue","Open")))</f>
        <v>Paid</v>
      </c>
      <c r="O33" s="13" t="n">
        <f aca="false">IF(ROUND(M33,2)&gt;0,MAX(0,DATE(2026,9,30)-J33),0)</f>
        <v>0</v>
      </c>
    </row>
    <row r="34" customFormat="false" ht="15" hidden="false" customHeight="false" outlineLevel="0" collapsed="false">
      <c r="A34" s="5" t="s">
        <v>277</v>
      </c>
      <c r="B34" s="10" t="n">
        <v>46208</v>
      </c>
      <c r="C34" s="5" t="s">
        <v>288</v>
      </c>
      <c r="D34" s="5" t="s">
        <v>62</v>
      </c>
      <c r="E34" s="5" t="s">
        <v>63</v>
      </c>
      <c r="F34" s="5" t="s">
        <v>275</v>
      </c>
      <c r="G34" s="7" t="n">
        <v>278778</v>
      </c>
      <c r="H34" s="7" t="n">
        <v>39028.92</v>
      </c>
      <c r="I34" s="7" t="n">
        <f aca="false">G34+H34</f>
        <v>317806.92</v>
      </c>
      <c r="J34" s="10" t="n">
        <v>46238</v>
      </c>
      <c r="K34" s="7" t="n">
        <f aca="false">SUMIFS('Customer and Supplier Returns'!$S$2:$S$12,'Customer and Supplier Returns'!$G$2:$G$12,A34,'Customer and Supplier Returns'!$B$2:$B$12,"Customer return")</f>
        <v>0</v>
      </c>
      <c r="L34" s="7" t="n">
        <f aca="false">SUMIFS('Customer Invoices and Payments'!$F$91:$F$152,'Customer Invoices and Payments'!$D$91:$D$152,A34)</f>
        <v>317806.92</v>
      </c>
      <c r="M34" s="7" t="n">
        <f aca="false">I34-K34-L34</f>
        <v>0</v>
      </c>
      <c r="N34" s="5" t="str">
        <f aca="false">IF(ROUND(M34,2)=0,"Paid",IF(L34&gt;0,IF(J34&lt;DATE(2026,9,30),"Partial - overdue","Partially paid"),IF(J34&lt;DATE(2026,9,30),"Overdue","Open")))</f>
        <v>Paid</v>
      </c>
      <c r="O34" s="13" t="n">
        <f aca="false">IF(ROUND(M34,2)&gt;0,MAX(0,DATE(2026,9,30)-J34),0)</f>
        <v>0</v>
      </c>
    </row>
    <row r="35" customFormat="false" ht="15" hidden="false" customHeight="false" outlineLevel="0" collapsed="false">
      <c r="A35" s="5" t="s">
        <v>286</v>
      </c>
      <c r="B35" s="10" t="n">
        <v>46211</v>
      </c>
      <c r="C35" s="5" t="s">
        <v>288</v>
      </c>
      <c r="D35" s="5" t="s">
        <v>97</v>
      </c>
      <c r="E35" s="5" t="s">
        <v>98</v>
      </c>
      <c r="F35" s="5" t="s">
        <v>284</v>
      </c>
      <c r="G35" s="7" t="n">
        <v>80104</v>
      </c>
      <c r="H35" s="7" t="n">
        <v>11214.56</v>
      </c>
      <c r="I35" s="7" t="n">
        <f aca="false">G35+H35</f>
        <v>91318.56</v>
      </c>
      <c r="J35" s="10" t="n">
        <v>46271</v>
      </c>
      <c r="K35" s="7" t="n">
        <f aca="false">SUMIFS('Customer and Supplier Returns'!$S$2:$S$12,'Customer and Supplier Returns'!$G$2:$G$12,A35,'Customer and Supplier Returns'!$B$2:$B$12,"Customer return")</f>
        <v>693.12</v>
      </c>
      <c r="L35" s="7" t="n">
        <f aca="false">SUMIFS('Customer Invoices and Payments'!$F$91:$F$152,'Customer Invoices and Payments'!$D$91:$D$152,A35)</f>
        <v>0</v>
      </c>
      <c r="M35" s="7" t="n">
        <f aca="false">I35-K35-L35</f>
        <v>90625.44</v>
      </c>
      <c r="N35" s="5" t="str">
        <f aca="false">IF(ROUND(M35,2)=0,"Paid",IF(L35&gt;0,IF(J35&lt;DATE(2026,9,30),"Partial - overdue","Partially paid"),IF(J35&lt;DATE(2026,9,30),"Overdue","Open")))</f>
        <v>Overdue</v>
      </c>
      <c r="O35" s="13" t="n">
        <f aca="false">IF(ROUND(M35,2)&gt;0,MAX(0,DATE(2026,9,30)-J35),0)</f>
        <v>24</v>
      </c>
    </row>
    <row r="36" customFormat="false" ht="15" hidden="false" customHeight="false" outlineLevel="0" collapsed="false">
      <c r="A36" s="5" t="s">
        <v>290</v>
      </c>
      <c r="B36" s="10" t="n">
        <v>46212</v>
      </c>
      <c r="C36" s="5" t="s">
        <v>288</v>
      </c>
      <c r="D36" s="5" t="s">
        <v>97</v>
      </c>
      <c r="E36" s="5" t="s">
        <v>98</v>
      </c>
      <c r="F36" s="5" t="s">
        <v>287</v>
      </c>
      <c r="G36" s="7" t="n">
        <v>72318.75</v>
      </c>
      <c r="H36" s="7" t="n">
        <v>10124.63</v>
      </c>
      <c r="I36" s="7" t="n">
        <f aca="false">G36+H36</f>
        <v>82443.38</v>
      </c>
      <c r="J36" s="10" t="n">
        <v>46272</v>
      </c>
      <c r="K36" s="7" t="n">
        <f aca="false">SUMIFS('Customer and Supplier Returns'!$S$2:$S$12,'Customer and Supplier Returns'!$G$2:$G$12,A36,'Customer and Supplier Returns'!$B$2:$B$12,"Customer return")</f>
        <v>0</v>
      </c>
      <c r="L36" s="7" t="n">
        <f aca="false">SUMIFS('Customer Invoices and Payments'!$F$91:$F$152,'Customer Invoices and Payments'!$D$91:$D$152,A36)</f>
        <v>0</v>
      </c>
      <c r="M36" s="7" t="n">
        <f aca="false">I36-K36-L36</f>
        <v>82443.38</v>
      </c>
      <c r="N36" s="5" t="str">
        <f aca="false">IF(ROUND(M36,2)=0,"Paid",IF(L36&gt;0,IF(J36&lt;DATE(2026,9,30),"Partial - overdue","Partially paid"),IF(J36&lt;DATE(2026,9,30),"Overdue","Open")))</f>
        <v>Overdue</v>
      </c>
      <c r="O36" s="13" t="n">
        <f aca="false">IF(ROUND(M36,2)&gt;0,MAX(0,DATE(2026,9,30)-J36),0)</f>
        <v>23</v>
      </c>
    </row>
    <row r="37" customFormat="false" ht="15" hidden="false" customHeight="false" outlineLevel="0" collapsed="false">
      <c r="A37" s="5" t="s">
        <v>293</v>
      </c>
      <c r="B37" s="10" t="n">
        <v>46212</v>
      </c>
      <c r="C37" s="5" t="s">
        <v>288</v>
      </c>
      <c r="D37" s="5" t="s">
        <v>118</v>
      </c>
      <c r="E37" s="5" t="s">
        <v>119</v>
      </c>
      <c r="F37" s="5" t="s">
        <v>291</v>
      </c>
      <c r="G37" s="7" t="n">
        <v>176460</v>
      </c>
      <c r="H37" s="7" t="n">
        <v>24704.4</v>
      </c>
      <c r="I37" s="7" t="n">
        <f aca="false">G37+H37</f>
        <v>201164.4</v>
      </c>
      <c r="J37" s="10" t="n">
        <v>46242</v>
      </c>
      <c r="K37" s="7" t="n">
        <f aca="false">SUMIFS('Customer and Supplier Returns'!$S$2:$S$12,'Customer and Supplier Returns'!$G$2:$G$12,A37,'Customer and Supplier Returns'!$B$2:$B$12,"Customer return")</f>
        <v>3306</v>
      </c>
      <c r="L37" s="7" t="n">
        <f aca="false">SUMIFS('Customer Invoices and Payments'!$F$91:$F$152,'Customer Invoices and Payments'!$D$91:$D$152,A37)</f>
        <v>197858.4</v>
      </c>
      <c r="M37" s="7" t="n">
        <f aca="false">I37-K37-L37</f>
        <v>0</v>
      </c>
      <c r="N37" s="5" t="str">
        <f aca="false">IF(ROUND(M37,2)=0,"Paid",IF(L37&gt;0,IF(J37&lt;DATE(2026,9,30),"Partial - overdue","Partially paid"),IF(J37&lt;DATE(2026,9,30),"Overdue","Open")))</f>
        <v>Paid</v>
      </c>
      <c r="O37" s="13" t="n">
        <f aca="false">IF(ROUND(M37,2)&gt;0,MAX(0,DATE(2026,9,30)-J37),0)</f>
        <v>0</v>
      </c>
    </row>
    <row r="38" customFormat="false" ht="15" hidden="false" customHeight="false" outlineLevel="0" collapsed="false">
      <c r="A38" s="5" t="s">
        <v>299</v>
      </c>
      <c r="B38" s="10" t="n">
        <v>46215</v>
      </c>
      <c r="C38" s="5" t="s">
        <v>288</v>
      </c>
      <c r="D38" s="5" t="s">
        <v>126</v>
      </c>
      <c r="E38" s="5" t="s">
        <v>127</v>
      </c>
      <c r="F38" s="5" t="s">
        <v>297</v>
      </c>
      <c r="G38" s="7" t="n">
        <v>4045</v>
      </c>
      <c r="H38" s="7" t="n">
        <v>566.3</v>
      </c>
      <c r="I38" s="7" t="n">
        <f aca="false">G38+H38</f>
        <v>4611.3</v>
      </c>
      <c r="J38" s="10" t="n">
        <v>46215</v>
      </c>
      <c r="K38" s="7" t="n">
        <f aca="false">SUMIFS('Customer and Supplier Returns'!$S$2:$S$12,'Customer and Supplier Returns'!$G$2:$G$12,A38,'Customer and Supplier Returns'!$B$2:$B$12,"Customer return")</f>
        <v>0</v>
      </c>
      <c r="L38" s="7" t="n">
        <f aca="false">SUMIFS('Customer Invoices and Payments'!$F$91:$F$152,'Customer Invoices and Payments'!$D$91:$D$152,A38)</f>
        <v>4611.3</v>
      </c>
      <c r="M38" s="7" t="n">
        <f aca="false">I38-K38-L38</f>
        <v>0</v>
      </c>
      <c r="N38" s="5" t="str">
        <f aca="false">IF(ROUND(M38,2)=0,"Paid",IF(L38&gt;0,IF(J38&lt;DATE(2026,9,30),"Partial - overdue","Partially paid"),IF(J38&lt;DATE(2026,9,30),"Overdue","Open")))</f>
        <v>Paid</v>
      </c>
      <c r="O38" s="13" t="n">
        <f aca="false">IF(ROUND(M38,2)&gt;0,MAX(0,DATE(2026,9,30)-J38),0)</f>
        <v>0</v>
      </c>
    </row>
    <row r="39" customFormat="false" ht="15" hidden="false" customHeight="false" outlineLevel="0" collapsed="false">
      <c r="A39" s="5" t="s">
        <v>302</v>
      </c>
      <c r="B39" s="10" t="n">
        <v>46215</v>
      </c>
      <c r="C39" s="5" t="s">
        <v>288</v>
      </c>
      <c r="D39" s="5" t="s">
        <v>126</v>
      </c>
      <c r="E39" s="5" t="s">
        <v>127</v>
      </c>
      <c r="F39" s="5" t="s">
        <v>300</v>
      </c>
      <c r="G39" s="7" t="n">
        <v>1560</v>
      </c>
      <c r="H39" s="7" t="n">
        <v>218.4</v>
      </c>
      <c r="I39" s="7" t="n">
        <f aca="false">G39+H39</f>
        <v>1778.4</v>
      </c>
      <c r="J39" s="10" t="n">
        <v>46215</v>
      </c>
      <c r="K39" s="7" t="n">
        <f aca="false">SUMIFS('Customer and Supplier Returns'!$S$2:$S$12,'Customer and Supplier Returns'!$G$2:$G$12,A39,'Customer and Supplier Returns'!$B$2:$B$12,"Customer return")</f>
        <v>0</v>
      </c>
      <c r="L39" s="7" t="n">
        <f aca="false">SUMIFS('Customer Invoices and Payments'!$F$91:$F$152,'Customer Invoices and Payments'!$D$91:$D$152,A39)</f>
        <v>1778.4</v>
      </c>
      <c r="M39" s="7" t="n">
        <f aca="false">I39-K39-L39</f>
        <v>0</v>
      </c>
      <c r="N39" s="5" t="str">
        <f aca="false">IF(ROUND(M39,2)=0,"Paid",IF(L39&gt;0,IF(J39&lt;DATE(2026,9,30),"Partial - overdue","Partially paid"),IF(J39&lt;DATE(2026,9,30),"Overdue","Open")))</f>
        <v>Paid</v>
      </c>
      <c r="O39" s="13" t="n">
        <f aca="false">IF(ROUND(M39,2)&gt;0,MAX(0,DATE(2026,9,30)-J39),0)</f>
        <v>0</v>
      </c>
    </row>
    <row r="40" customFormat="false" ht="15" hidden="false" customHeight="false" outlineLevel="0" collapsed="false">
      <c r="A40" s="5" t="s">
        <v>308</v>
      </c>
      <c r="B40" s="10" t="n">
        <v>46216</v>
      </c>
      <c r="C40" s="5" t="s">
        <v>288</v>
      </c>
      <c r="D40" s="5" t="s">
        <v>126</v>
      </c>
      <c r="E40" s="5" t="s">
        <v>127</v>
      </c>
      <c r="F40" s="5" t="s">
        <v>306</v>
      </c>
      <c r="G40" s="7" t="n">
        <v>2910</v>
      </c>
      <c r="H40" s="7" t="n">
        <v>407.4</v>
      </c>
      <c r="I40" s="7" t="n">
        <f aca="false">G40+H40</f>
        <v>3317.4</v>
      </c>
      <c r="J40" s="10" t="n">
        <v>46216</v>
      </c>
      <c r="K40" s="7" t="n">
        <f aca="false">SUMIFS('Customer and Supplier Returns'!$S$2:$S$12,'Customer and Supplier Returns'!$G$2:$G$12,A40,'Customer and Supplier Returns'!$B$2:$B$12,"Customer return")</f>
        <v>0</v>
      </c>
      <c r="L40" s="7" t="n">
        <f aca="false">SUMIFS('Customer Invoices and Payments'!$F$91:$F$152,'Customer Invoices and Payments'!$D$91:$D$152,A40)</f>
        <v>3317.4</v>
      </c>
      <c r="M40" s="7" t="n">
        <f aca="false">I40-K40-L40</f>
        <v>0</v>
      </c>
      <c r="N40" s="5" t="str">
        <f aca="false">IF(ROUND(M40,2)=0,"Paid",IF(L40&gt;0,IF(J40&lt;DATE(2026,9,30),"Partial - overdue","Partially paid"),IF(J40&lt;DATE(2026,9,30),"Overdue","Open")))</f>
        <v>Paid</v>
      </c>
      <c r="O40" s="13" t="n">
        <f aca="false">IF(ROUND(M40,2)&gt;0,MAX(0,DATE(2026,9,30)-J40),0)</f>
        <v>0</v>
      </c>
    </row>
    <row r="41" customFormat="false" ht="15" hidden="false" customHeight="false" outlineLevel="0" collapsed="false">
      <c r="A41" s="5" t="s">
        <v>296</v>
      </c>
      <c r="B41" s="10" t="n">
        <v>46217</v>
      </c>
      <c r="C41" s="5" t="s">
        <v>288</v>
      </c>
      <c r="D41" s="5" t="s">
        <v>55</v>
      </c>
      <c r="E41" s="5" t="s">
        <v>56</v>
      </c>
      <c r="F41" s="5" t="s">
        <v>294</v>
      </c>
      <c r="G41" s="7" t="n">
        <v>81604.6</v>
      </c>
      <c r="H41" s="7" t="n">
        <v>11424.64</v>
      </c>
      <c r="I41" s="7" t="n">
        <f aca="false">G41+H41</f>
        <v>93029.24</v>
      </c>
      <c r="J41" s="10" t="n">
        <v>46262</v>
      </c>
      <c r="K41" s="7" t="n">
        <f aca="false">SUMIFS('Customer and Supplier Returns'!$S$2:$S$12,'Customer and Supplier Returns'!$G$2:$G$12,A41,'Customer and Supplier Returns'!$B$2:$B$12,"Customer return")</f>
        <v>0</v>
      </c>
      <c r="L41" s="7" t="n">
        <f aca="false">SUMIFS('Customer Invoices and Payments'!$F$91:$F$152,'Customer Invoices and Payments'!$D$91:$D$152,A41)</f>
        <v>93029.24</v>
      </c>
      <c r="M41" s="7" t="n">
        <f aca="false">I41-K41-L41</f>
        <v>0</v>
      </c>
      <c r="N41" s="5" t="str">
        <f aca="false">IF(ROUND(M41,2)=0,"Paid",IF(L41&gt;0,IF(J41&lt;DATE(2026,9,30),"Partial - overdue","Partially paid"),IF(J41&lt;DATE(2026,9,30),"Overdue","Open")))</f>
        <v>Paid</v>
      </c>
      <c r="O41" s="13" t="n">
        <f aca="false">IF(ROUND(M41,2)&gt;0,MAX(0,DATE(2026,9,30)-J41),0)</f>
        <v>0</v>
      </c>
    </row>
    <row r="42" customFormat="false" ht="15" hidden="false" customHeight="false" outlineLevel="0" collapsed="false">
      <c r="A42" s="5" t="s">
        <v>305</v>
      </c>
      <c r="B42" s="10" t="n">
        <v>46217</v>
      </c>
      <c r="C42" s="5" t="s">
        <v>288</v>
      </c>
      <c r="D42" s="5" t="s">
        <v>69</v>
      </c>
      <c r="E42" s="5" t="s">
        <v>70</v>
      </c>
      <c r="F42" s="5" t="s">
        <v>303</v>
      </c>
      <c r="G42" s="7" t="n">
        <v>159300</v>
      </c>
      <c r="H42" s="7" t="n">
        <v>22302</v>
      </c>
      <c r="I42" s="7" t="n">
        <f aca="false">G42+H42</f>
        <v>181602</v>
      </c>
      <c r="J42" s="10" t="n">
        <v>46232</v>
      </c>
      <c r="K42" s="7" t="n">
        <f aca="false">SUMIFS('Customer and Supplier Returns'!$S$2:$S$12,'Customer and Supplier Returns'!$G$2:$G$12,A42,'Customer and Supplier Returns'!$B$2:$B$12,"Customer return")</f>
        <v>0</v>
      </c>
      <c r="L42" s="7" t="n">
        <f aca="false">SUMIFS('Customer Invoices and Payments'!$F$91:$F$152,'Customer Invoices and Payments'!$D$91:$D$152,A42)</f>
        <v>181602</v>
      </c>
      <c r="M42" s="7" t="n">
        <f aca="false">I42-K42-L42</f>
        <v>0</v>
      </c>
      <c r="N42" s="5" t="str">
        <f aca="false">IF(ROUND(M42,2)=0,"Paid",IF(L42&gt;0,IF(J42&lt;DATE(2026,9,30),"Partial - overdue","Partially paid"),IF(J42&lt;DATE(2026,9,30),"Overdue","Open")))</f>
        <v>Paid</v>
      </c>
      <c r="O42" s="13" t="n">
        <f aca="false">IF(ROUND(M42,2)&gt;0,MAX(0,DATE(2026,9,30)-J42),0)</f>
        <v>0</v>
      </c>
    </row>
    <row r="43" customFormat="false" ht="15" hidden="false" customHeight="false" outlineLevel="0" collapsed="false">
      <c r="A43" s="5" t="s">
        <v>311</v>
      </c>
      <c r="B43" s="10" t="n">
        <v>46222</v>
      </c>
      <c r="C43" s="5" t="s">
        <v>288</v>
      </c>
      <c r="D43" s="5" t="s">
        <v>90</v>
      </c>
      <c r="E43" s="5" t="s">
        <v>91</v>
      </c>
      <c r="F43" s="5" t="s">
        <v>309</v>
      </c>
      <c r="G43" s="7" t="n">
        <v>72905</v>
      </c>
      <c r="H43" s="7" t="n">
        <v>10206.7</v>
      </c>
      <c r="I43" s="7" t="n">
        <f aca="false">G43+H43</f>
        <v>83111.7</v>
      </c>
      <c r="J43" s="10" t="n">
        <v>46237</v>
      </c>
      <c r="K43" s="7" t="n">
        <f aca="false">SUMIFS('Customer and Supplier Returns'!$S$2:$S$12,'Customer and Supplier Returns'!$G$2:$G$12,A43,'Customer and Supplier Returns'!$B$2:$B$12,"Customer return")</f>
        <v>0</v>
      </c>
      <c r="L43" s="7" t="n">
        <f aca="false">SUMIFS('Customer Invoices and Payments'!$F$91:$F$152,'Customer Invoices and Payments'!$D$91:$D$152,A43)</f>
        <v>83111.7</v>
      </c>
      <c r="M43" s="7" t="n">
        <f aca="false">I43-K43-L43</f>
        <v>0</v>
      </c>
      <c r="N43" s="5" t="str">
        <f aca="false">IF(ROUND(M43,2)=0,"Paid",IF(L43&gt;0,IF(J43&lt;DATE(2026,9,30),"Partial - overdue","Partially paid"),IF(J43&lt;DATE(2026,9,30),"Overdue","Open")))</f>
        <v>Paid</v>
      </c>
      <c r="O43" s="13" t="n">
        <f aca="false">IF(ROUND(M43,2)&gt;0,MAX(0,DATE(2026,9,30)-J43),0)</f>
        <v>0</v>
      </c>
    </row>
    <row r="44" customFormat="false" ht="15" hidden="false" customHeight="false" outlineLevel="0" collapsed="false">
      <c r="A44" s="5" t="s">
        <v>320</v>
      </c>
      <c r="B44" s="10" t="n">
        <v>46224</v>
      </c>
      <c r="C44" s="5" t="s">
        <v>288</v>
      </c>
      <c r="D44" s="5" t="s">
        <v>38</v>
      </c>
      <c r="E44" s="5" t="s">
        <v>39</v>
      </c>
      <c r="F44" s="5" t="s">
        <v>318</v>
      </c>
      <c r="G44" s="7" t="n">
        <v>302601.2</v>
      </c>
      <c r="H44" s="7" t="n">
        <v>42364.17</v>
      </c>
      <c r="I44" s="7" t="n">
        <f aca="false">G44+H44</f>
        <v>344965.37</v>
      </c>
      <c r="J44" s="10" t="n">
        <v>46254</v>
      </c>
      <c r="K44" s="7" t="n">
        <f aca="false">SUMIFS('Customer and Supplier Returns'!$S$2:$S$12,'Customer and Supplier Returns'!$G$2:$G$12,A44,'Customer and Supplier Returns'!$B$2:$B$12,"Customer return")</f>
        <v>1503.89</v>
      </c>
      <c r="L44" s="7" t="n">
        <f aca="false">SUMIFS('Customer Invoices and Payments'!$F$91:$F$152,'Customer Invoices and Payments'!$D$91:$D$152,A44)</f>
        <v>343461.48</v>
      </c>
      <c r="M44" s="7" t="n">
        <f aca="false">I44-K44-L44</f>
        <v>0</v>
      </c>
      <c r="N44" s="5" t="str">
        <f aca="false">IF(ROUND(M44,2)=0,"Paid",IF(L44&gt;0,IF(J44&lt;DATE(2026,9,30),"Partial - overdue","Partially paid"),IF(J44&lt;DATE(2026,9,30),"Overdue","Open")))</f>
        <v>Paid</v>
      </c>
      <c r="O44" s="13" t="n">
        <f aca="false">IF(ROUND(M44,2)&gt;0,MAX(0,DATE(2026,9,30)-J44),0)</f>
        <v>0</v>
      </c>
    </row>
    <row r="45" customFormat="false" ht="15" hidden="false" customHeight="false" outlineLevel="0" collapsed="false">
      <c r="A45" s="5" t="s">
        <v>323</v>
      </c>
      <c r="B45" s="10" t="n">
        <v>46224</v>
      </c>
      <c r="C45" s="5" t="s">
        <v>288</v>
      </c>
      <c r="D45" s="5" t="s">
        <v>76</v>
      </c>
      <c r="E45" s="5" t="s">
        <v>77</v>
      </c>
      <c r="F45" s="5" t="s">
        <v>321</v>
      </c>
      <c r="G45" s="7" t="n">
        <v>82109.3</v>
      </c>
      <c r="H45" s="7" t="n">
        <v>11495.3</v>
      </c>
      <c r="I45" s="7" t="n">
        <f aca="false">G45+H45</f>
        <v>93604.6</v>
      </c>
      <c r="J45" s="10" t="n">
        <v>46254</v>
      </c>
      <c r="K45" s="7" t="n">
        <f aca="false">SUMIFS('Customer and Supplier Returns'!$S$2:$S$12,'Customer and Supplier Returns'!$G$2:$G$12,A45,'Customer and Supplier Returns'!$B$2:$B$12,"Customer return")</f>
        <v>1173.06</v>
      </c>
      <c r="L45" s="7" t="n">
        <f aca="false">SUMIFS('Customer Invoices and Payments'!$F$91:$F$152,'Customer Invoices and Payments'!$D$91:$D$152,A45)</f>
        <v>92431.54</v>
      </c>
      <c r="M45" s="7" t="n">
        <f aca="false">I45-K45-L45</f>
        <v>0</v>
      </c>
      <c r="N45" s="5" t="str">
        <f aca="false">IF(ROUND(M45,2)=0,"Paid",IF(L45&gt;0,IF(J45&lt;DATE(2026,9,30),"Partial - overdue","Partially paid"),IF(J45&lt;DATE(2026,9,30),"Overdue","Open")))</f>
        <v>Paid</v>
      </c>
      <c r="O45" s="13" t="n">
        <f aca="false">IF(ROUND(M45,2)&gt;0,MAX(0,DATE(2026,9,30)-J45),0)</f>
        <v>0</v>
      </c>
    </row>
    <row r="46" customFormat="false" ht="15" hidden="false" customHeight="false" outlineLevel="0" collapsed="false">
      <c r="A46" s="5" t="s">
        <v>314</v>
      </c>
      <c r="B46" s="10" t="n">
        <v>46225</v>
      </c>
      <c r="C46" s="5" t="s">
        <v>288</v>
      </c>
      <c r="D46" s="5" t="s">
        <v>62</v>
      </c>
      <c r="E46" s="5" t="s">
        <v>63</v>
      </c>
      <c r="F46" s="5" t="s">
        <v>312</v>
      </c>
      <c r="G46" s="7" t="n">
        <v>165389.85</v>
      </c>
      <c r="H46" s="7" t="n">
        <v>23154.58</v>
      </c>
      <c r="I46" s="7" t="n">
        <f aca="false">G46+H46</f>
        <v>188544.43</v>
      </c>
      <c r="J46" s="10" t="n">
        <v>46255</v>
      </c>
      <c r="K46" s="7" t="n">
        <f aca="false">SUMIFS('Customer and Supplier Returns'!$S$2:$S$12,'Customer and Supplier Returns'!$G$2:$G$12,A46,'Customer and Supplier Returns'!$B$2:$B$12,"Customer return")</f>
        <v>0</v>
      </c>
      <c r="L46" s="7" t="n">
        <f aca="false">SUMIFS('Customer Invoices and Payments'!$F$91:$F$152,'Customer Invoices and Payments'!$D$91:$D$152,A46)</f>
        <v>188544.43</v>
      </c>
      <c r="M46" s="7" t="n">
        <f aca="false">I46-K46-L46</f>
        <v>0</v>
      </c>
      <c r="N46" s="5" t="str">
        <f aca="false">IF(ROUND(M46,2)=0,"Paid",IF(L46&gt;0,IF(J46&lt;DATE(2026,9,30),"Partial - overdue","Partially paid"),IF(J46&lt;DATE(2026,9,30),"Overdue","Open")))</f>
        <v>Paid</v>
      </c>
      <c r="O46" s="13" t="n">
        <f aca="false">IF(ROUND(M46,2)&gt;0,MAX(0,DATE(2026,9,30)-J46),0)</f>
        <v>0</v>
      </c>
    </row>
    <row r="47" customFormat="false" ht="15" hidden="false" customHeight="false" outlineLevel="0" collapsed="false">
      <c r="A47" s="5" t="s">
        <v>317</v>
      </c>
      <c r="B47" s="10" t="n">
        <v>46226</v>
      </c>
      <c r="C47" s="5" t="s">
        <v>288</v>
      </c>
      <c r="D47" s="5" t="s">
        <v>111</v>
      </c>
      <c r="E47" s="5" t="s">
        <v>112</v>
      </c>
      <c r="F47" s="5" t="s">
        <v>315</v>
      </c>
      <c r="G47" s="7" t="n">
        <v>115565.52</v>
      </c>
      <c r="H47" s="7" t="n">
        <v>16179.17</v>
      </c>
      <c r="I47" s="7" t="n">
        <f aca="false">G47+H47</f>
        <v>131744.69</v>
      </c>
      <c r="J47" s="10" t="n">
        <v>46271</v>
      </c>
      <c r="K47" s="7" t="n">
        <f aca="false">SUMIFS('Customer and Supplier Returns'!$S$2:$S$12,'Customer and Supplier Returns'!$G$2:$G$12,A47,'Customer and Supplier Returns'!$B$2:$B$12,"Customer return")</f>
        <v>0</v>
      </c>
      <c r="L47" s="7" t="n">
        <f aca="false">SUMIFS('Customer Invoices and Payments'!$F$91:$F$152,'Customer Invoices and Payments'!$D$91:$D$152,A47)</f>
        <v>0</v>
      </c>
      <c r="M47" s="7" t="n">
        <f aca="false">I47-K47-L47</f>
        <v>131744.69</v>
      </c>
      <c r="N47" s="5" t="str">
        <f aca="false">IF(ROUND(M47,2)=0,"Paid",IF(L47&gt;0,IF(J47&lt;DATE(2026,9,30),"Partial - overdue","Partially paid"),IF(J47&lt;DATE(2026,9,30),"Overdue","Open")))</f>
        <v>Overdue</v>
      </c>
      <c r="O47" s="13" t="n">
        <f aca="false">IF(ROUND(M47,2)&gt;0,MAX(0,DATE(2026,9,30)-J47),0)</f>
        <v>24</v>
      </c>
    </row>
    <row r="48" customFormat="false" ht="15" hidden="false" customHeight="false" outlineLevel="0" collapsed="false">
      <c r="A48" s="5" t="s">
        <v>326</v>
      </c>
      <c r="B48" s="10" t="n">
        <v>46226</v>
      </c>
      <c r="C48" s="5" t="s">
        <v>288</v>
      </c>
      <c r="D48" s="5" t="s">
        <v>38</v>
      </c>
      <c r="E48" s="5" t="s">
        <v>39</v>
      </c>
      <c r="F48" s="5" t="s">
        <v>324</v>
      </c>
      <c r="G48" s="7" t="n">
        <v>80155.95</v>
      </c>
      <c r="H48" s="7" t="n">
        <v>11221.83</v>
      </c>
      <c r="I48" s="7" t="n">
        <f aca="false">G48+H48</f>
        <v>91377.78</v>
      </c>
      <c r="J48" s="10" t="n">
        <v>46256</v>
      </c>
      <c r="K48" s="7" t="n">
        <f aca="false">SUMIFS('Customer and Supplier Returns'!$S$2:$S$12,'Customer and Supplier Returns'!$G$2:$G$12,A48,'Customer and Supplier Returns'!$B$2:$B$12,"Customer return")</f>
        <v>0</v>
      </c>
      <c r="L48" s="7" t="n">
        <f aca="false">SUMIFS('Customer Invoices and Payments'!$F$91:$F$152,'Customer Invoices and Payments'!$D$91:$D$152,A48)</f>
        <v>91377.78</v>
      </c>
      <c r="M48" s="7" t="n">
        <f aca="false">I48-K48-L48</f>
        <v>0</v>
      </c>
      <c r="N48" s="5" t="str">
        <f aca="false">IF(ROUND(M48,2)=0,"Paid",IF(L48&gt;0,IF(J48&lt;DATE(2026,9,30),"Partial - overdue","Partially paid"),IF(J48&lt;DATE(2026,9,30),"Overdue","Open")))</f>
        <v>Paid</v>
      </c>
      <c r="O48" s="13" t="n">
        <f aca="false">IF(ROUND(M48,2)&gt;0,MAX(0,DATE(2026,9,30)-J48),0)</f>
        <v>0</v>
      </c>
    </row>
    <row r="49" customFormat="false" ht="15" hidden="false" customHeight="false" outlineLevel="0" collapsed="false">
      <c r="A49" s="5" t="s">
        <v>329</v>
      </c>
      <c r="B49" s="10" t="n">
        <v>46229</v>
      </c>
      <c r="C49" s="5" t="s">
        <v>288</v>
      </c>
      <c r="D49" s="5" t="s">
        <v>126</v>
      </c>
      <c r="E49" s="5" t="s">
        <v>127</v>
      </c>
      <c r="F49" s="5" t="s">
        <v>327</v>
      </c>
      <c r="G49" s="7" t="n">
        <v>5271</v>
      </c>
      <c r="H49" s="7" t="n">
        <v>737.94</v>
      </c>
      <c r="I49" s="7" t="n">
        <f aca="false">G49+H49</f>
        <v>6008.94</v>
      </c>
      <c r="J49" s="10" t="n">
        <v>46229</v>
      </c>
      <c r="K49" s="7" t="n">
        <f aca="false">SUMIFS('Customer and Supplier Returns'!$S$2:$S$12,'Customer and Supplier Returns'!$G$2:$G$12,A49,'Customer and Supplier Returns'!$B$2:$B$12,"Customer return")</f>
        <v>0</v>
      </c>
      <c r="L49" s="7" t="n">
        <f aca="false">SUMIFS('Customer Invoices and Payments'!$F$91:$F$152,'Customer Invoices and Payments'!$D$91:$D$152,A49)</f>
        <v>6008.94</v>
      </c>
      <c r="M49" s="7" t="n">
        <f aca="false">I49-K49-L49</f>
        <v>0</v>
      </c>
      <c r="N49" s="5" t="str">
        <f aca="false">IF(ROUND(M49,2)=0,"Paid",IF(L49&gt;0,IF(J49&lt;DATE(2026,9,30),"Partial - overdue","Partially paid"),IF(J49&lt;DATE(2026,9,30),"Overdue","Open")))</f>
        <v>Paid</v>
      </c>
      <c r="O49" s="13" t="n">
        <f aca="false">IF(ROUND(M49,2)&gt;0,MAX(0,DATE(2026,9,30)-J49),0)</f>
        <v>0</v>
      </c>
    </row>
    <row r="50" customFormat="false" ht="15" hidden="false" customHeight="false" outlineLevel="0" collapsed="false">
      <c r="A50" s="5" t="s">
        <v>332</v>
      </c>
      <c r="B50" s="10" t="n">
        <v>46231</v>
      </c>
      <c r="C50" s="5" t="s">
        <v>288</v>
      </c>
      <c r="D50" s="5" t="s">
        <v>83</v>
      </c>
      <c r="E50" s="5" t="s">
        <v>84</v>
      </c>
      <c r="F50" s="5" t="s">
        <v>330</v>
      </c>
      <c r="G50" s="7" t="n">
        <v>20060</v>
      </c>
      <c r="H50" s="7" t="n">
        <v>2808.4</v>
      </c>
      <c r="I50" s="7" t="n">
        <f aca="false">G50+H50</f>
        <v>22868.4</v>
      </c>
      <c r="J50" s="10" t="n">
        <v>46291</v>
      </c>
      <c r="K50" s="7" t="n">
        <f aca="false">SUMIFS('Customer and Supplier Returns'!$S$2:$S$12,'Customer and Supplier Returns'!$G$2:$G$12,A50,'Customer and Supplier Returns'!$B$2:$B$12,"Customer return")</f>
        <v>0</v>
      </c>
      <c r="L50" s="7" t="n">
        <f aca="false">SUMIFS('Customer Invoices and Payments'!$F$91:$F$152,'Customer Invoices and Payments'!$D$91:$D$152,A50)</f>
        <v>0</v>
      </c>
      <c r="M50" s="7" t="n">
        <f aca="false">I50-K50-L50</f>
        <v>22868.4</v>
      </c>
      <c r="N50" s="5" t="str">
        <f aca="false">IF(ROUND(M50,2)=0,"Paid",IF(L50&gt;0,IF(J50&lt;DATE(2026,9,30),"Partial - overdue","Partially paid"),IF(J50&lt;DATE(2026,9,30),"Overdue","Open")))</f>
        <v>Overdue</v>
      </c>
      <c r="O50" s="13" t="n">
        <f aca="false">IF(ROUND(M50,2)&gt;0,MAX(0,DATE(2026,9,30)-J50),0)</f>
        <v>4</v>
      </c>
    </row>
    <row r="51" customFormat="false" ht="15" hidden="false" customHeight="false" outlineLevel="0" collapsed="false">
      <c r="A51" s="5" t="s">
        <v>338</v>
      </c>
      <c r="B51" s="10" t="n">
        <v>46236</v>
      </c>
      <c r="C51" s="5" t="s">
        <v>346</v>
      </c>
      <c r="D51" s="5" t="s">
        <v>126</v>
      </c>
      <c r="E51" s="5" t="s">
        <v>127</v>
      </c>
      <c r="F51" s="5" t="s">
        <v>336</v>
      </c>
      <c r="G51" s="7" t="n">
        <v>1682</v>
      </c>
      <c r="H51" s="7" t="n">
        <v>235.48</v>
      </c>
      <c r="I51" s="7" t="n">
        <f aca="false">G51+H51</f>
        <v>1917.48</v>
      </c>
      <c r="J51" s="10" t="n">
        <v>46236</v>
      </c>
      <c r="K51" s="7" t="n">
        <f aca="false">SUMIFS('Customer and Supplier Returns'!$S$2:$S$12,'Customer and Supplier Returns'!$G$2:$G$12,A51,'Customer and Supplier Returns'!$B$2:$B$12,"Customer return")</f>
        <v>0</v>
      </c>
      <c r="L51" s="7" t="n">
        <f aca="false">SUMIFS('Customer Invoices and Payments'!$F$91:$F$152,'Customer Invoices and Payments'!$D$91:$D$152,A51)</f>
        <v>1917.48</v>
      </c>
      <c r="M51" s="7" t="n">
        <f aca="false">I51-K51-L51</f>
        <v>0</v>
      </c>
      <c r="N51" s="5" t="str">
        <f aca="false">IF(ROUND(M51,2)=0,"Paid",IF(L51&gt;0,IF(J51&lt;DATE(2026,9,30),"Partial - overdue","Partially paid"),IF(J51&lt;DATE(2026,9,30),"Overdue","Open")))</f>
        <v>Paid</v>
      </c>
      <c r="O51" s="13" t="n">
        <f aca="false">IF(ROUND(M51,2)&gt;0,MAX(0,DATE(2026,9,30)-J51),0)</f>
        <v>0</v>
      </c>
    </row>
    <row r="52" customFormat="false" ht="15" hidden="false" customHeight="false" outlineLevel="0" collapsed="false">
      <c r="A52" s="5" t="s">
        <v>341</v>
      </c>
      <c r="B52" s="10" t="n">
        <v>46236</v>
      </c>
      <c r="C52" s="5" t="s">
        <v>346</v>
      </c>
      <c r="D52" s="5" t="s">
        <v>126</v>
      </c>
      <c r="E52" s="5" t="s">
        <v>127</v>
      </c>
      <c r="F52" s="5" t="s">
        <v>339</v>
      </c>
      <c r="G52" s="7" t="n">
        <v>3456</v>
      </c>
      <c r="H52" s="7" t="n">
        <v>483.84</v>
      </c>
      <c r="I52" s="7" t="n">
        <f aca="false">G52+H52</f>
        <v>3939.84</v>
      </c>
      <c r="J52" s="10" t="n">
        <v>46236</v>
      </c>
      <c r="K52" s="7" t="n">
        <f aca="false">SUMIFS('Customer and Supplier Returns'!$S$2:$S$12,'Customer and Supplier Returns'!$G$2:$G$12,A52,'Customer and Supplier Returns'!$B$2:$B$12,"Customer return")</f>
        <v>0</v>
      </c>
      <c r="L52" s="7" t="n">
        <f aca="false">SUMIFS('Customer Invoices and Payments'!$F$91:$F$152,'Customer Invoices and Payments'!$D$91:$D$152,A52)</f>
        <v>3939.84</v>
      </c>
      <c r="M52" s="7" t="n">
        <f aca="false">I52-K52-L52</f>
        <v>0</v>
      </c>
      <c r="N52" s="5" t="str">
        <f aca="false">IF(ROUND(M52,2)=0,"Paid",IF(L52&gt;0,IF(J52&lt;DATE(2026,9,30),"Partial - overdue","Partially paid"),IF(J52&lt;DATE(2026,9,30),"Overdue","Open")))</f>
        <v>Paid</v>
      </c>
      <c r="O52" s="13" t="n">
        <f aca="false">IF(ROUND(M52,2)&gt;0,MAX(0,DATE(2026,9,30)-J52),0)</f>
        <v>0</v>
      </c>
    </row>
    <row r="53" customFormat="false" ht="15" hidden="false" customHeight="false" outlineLevel="0" collapsed="false">
      <c r="A53" s="5" t="s">
        <v>335</v>
      </c>
      <c r="B53" s="10" t="n">
        <v>46237</v>
      </c>
      <c r="C53" s="5" t="s">
        <v>346</v>
      </c>
      <c r="D53" s="5" t="s">
        <v>104</v>
      </c>
      <c r="E53" s="5" t="s">
        <v>105</v>
      </c>
      <c r="F53" s="5" t="s">
        <v>333</v>
      </c>
      <c r="G53" s="7" t="n">
        <v>226361.14</v>
      </c>
      <c r="H53" s="7" t="n">
        <v>31690.56</v>
      </c>
      <c r="I53" s="7" t="n">
        <f aca="false">G53+H53</f>
        <v>258051.7</v>
      </c>
      <c r="J53" s="10" t="n">
        <v>46267</v>
      </c>
      <c r="K53" s="7" t="n">
        <f aca="false">SUMIFS('Customer and Supplier Returns'!$S$2:$S$12,'Customer and Supplier Returns'!$G$2:$G$12,A53,'Customer and Supplier Returns'!$B$2:$B$12,"Customer return")</f>
        <v>0</v>
      </c>
      <c r="L53" s="7" t="n">
        <f aca="false">SUMIFS('Customer Invoices and Payments'!$F$91:$F$152,'Customer Invoices and Payments'!$D$91:$D$152,A53)</f>
        <v>258051.7</v>
      </c>
      <c r="M53" s="7" t="n">
        <f aca="false">I53-K53-L53</f>
        <v>0</v>
      </c>
      <c r="N53" s="5" t="str">
        <f aca="false">IF(ROUND(M53,2)=0,"Paid",IF(L53&gt;0,IF(J53&lt;DATE(2026,9,30),"Partial - overdue","Partially paid"),IF(J53&lt;DATE(2026,9,30),"Overdue","Open")))</f>
        <v>Paid</v>
      </c>
      <c r="O53" s="13" t="n">
        <f aca="false">IF(ROUND(M53,2)&gt;0,MAX(0,DATE(2026,9,30)-J53),0)</f>
        <v>0</v>
      </c>
    </row>
    <row r="54" customFormat="false" ht="15" hidden="false" customHeight="false" outlineLevel="0" collapsed="false">
      <c r="A54" s="5" t="s">
        <v>344</v>
      </c>
      <c r="B54" s="10" t="n">
        <v>46240</v>
      </c>
      <c r="C54" s="5" t="s">
        <v>346</v>
      </c>
      <c r="D54" s="5" t="s">
        <v>47</v>
      </c>
      <c r="E54" s="5" t="s">
        <v>48</v>
      </c>
      <c r="F54" s="5" t="s">
        <v>342</v>
      </c>
      <c r="G54" s="7" t="n">
        <v>85282.4</v>
      </c>
      <c r="H54" s="7" t="n">
        <v>11939.54</v>
      </c>
      <c r="I54" s="7" t="n">
        <f aca="false">G54+H54</f>
        <v>97221.94</v>
      </c>
      <c r="J54" s="10" t="n">
        <v>46285</v>
      </c>
      <c r="K54" s="7" t="n">
        <f aca="false">SUMIFS('Customer and Supplier Returns'!$S$2:$S$12,'Customer and Supplier Returns'!$G$2:$G$12,A54,'Customer and Supplier Returns'!$B$2:$B$12,"Customer return")</f>
        <v>0</v>
      </c>
      <c r="L54" s="7" t="n">
        <f aca="false">SUMIFS('Customer Invoices and Payments'!$F$91:$F$152,'Customer Invoices and Payments'!$D$91:$D$152,A54)</f>
        <v>0</v>
      </c>
      <c r="M54" s="7" t="n">
        <f aca="false">I54-K54-L54</f>
        <v>97221.94</v>
      </c>
      <c r="N54" s="5" t="str">
        <f aca="false">IF(ROUND(M54,2)=0,"Paid",IF(L54&gt;0,IF(J54&lt;DATE(2026,9,30),"Partial - overdue","Partially paid"),IF(J54&lt;DATE(2026,9,30),"Overdue","Open")))</f>
        <v>Overdue</v>
      </c>
      <c r="O54" s="13" t="n">
        <f aca="false">IF(ROUND(M54,2)&gt;0,MAX(0,DATE(2026,9,30)-J54),0)</f>
        <v>10</v>
      </c>
    </row>
    <row r="55" customFormat="false" ht="15" hidden="false" customHeight="false" outlineLevel="0" collapsed="false">
      <c r="A55" s="5" t="s">
        <v>348</v>
      </c>
      <c r="B55" s="10" t="n">
        <v>46243</v>
      </c>
      <c r="C55" s="5" t="s">
        <v>346</v>
      </c>
      <c r="D55" s="5" t="s">
        <v>126</v>
      </c>
      <c r="E55" s="5" t="s">
        <v>127</v>
      </c>
      <c r="F55" s="5" t="s">
        <v>345</v>
      </c>
      <c r="G55" s="7" t="n">
        <v>4320</v>
      </c>
      <c r="H55" s="7" t="n">
        <v>604.8</v>
      </c>
      <c r="I55" s="7" t="n">
        <f aca="false">G55+H55</f>
        <v>4924.8</v>
      </c>
      <c r="J55" s="10" t="n">
        <v>46243</v>
      </c>
      <c r="K55" s="7" t="n">
        <f aca="false">SUMIFS('Customer and Supplier Returns'!$S$2:$S$12,'Customer and Supplier Returns'!$G$2:$G$12,A55,'Customer and Supplier Returns'!$B$2:$B$12,"Customer return")</f>
        <v>0</v>
      </c>
      <c r="L55" s="7" t="n">
        <f aca="false">SUMIFS('Customer Invoices and Payments'!$F$91:$F$152,'Customer Invoices and Payments'!$D$91:$D$152,A55)</f>
        <v>4924.8</v>
      </c>
      <c r="M55" s="7" t="n">
        <f aca="false">I55-K55-L55</f>
        <v>0</v>
      </c>
      <c r="N55" s="5" t="str">
        <f aca="false">IF(ROUND(M55,2)=0,"Paid",IF(L55&gt;0,IF(J55&lt;DATE(2026,9,30),"Partial - overdue","Partially paid"),IF(J55&lt;DATE(2026,9,30),"Overdue","Open")))</f>
        <v>Paid</v>
      </c>
      <c r="O55" s="13" t="n">
        <f aca="false">IF(ROUND(M55,2)&gt;0,MAX(0,DATE(2026,9,30)-J55),0)</f>
        <v>0</v>
      </c>
    </row>
    <row r="56" customFormat="false" ht="15" hidden="false" customHeight="false" outlineLevel="0" collapsed="false">
      <c r="A56" s="5" t="s">
        <v>354</v>
      </c>
      <c r="B56" s="10" t="n">
        <v>46243</v>
      </c>
      <c r="C56" s="5" t="s">
        <v>346</v>
      </c>
      <c r="D56" s="5" t="s">
        <v>76</v>
      </c>
      <c r="E56" s="5" t="s">
        <v>77</v>
      </c>
      <c r="F56" s="5" t="s">
        <v>352</v>
      </c>
      <c r="G56" s="7" t="n">
        <v>111901.3</v>
      </c>
      <c r="H56" s="7" t="n">
        <v>15666.18</v>
      </c>
      <c r="I56" s="7" t="n">
        <f aca="false">G56+H56</f>
        <v>127567.48</v>
      </c>
      <c r="J56" s="10" t="n">
        <v>46273</v>
      </c>
      <c r="K56" s="7" t="n">
        <f aca="false">SUMIFS('Customer and Supplier Returns'!$S$2:$S$12,'Customer and Supplier Returns'!$G$2:$G$12,A56,'Customer and Supplier Returns'!$B$2:$B$12,"Customer return")</f>
        <v>0</v>
      </c>
      <c r="L56" s="7" t="n">
        <f aca="false">SUMIFS('Customer Invoices and Payments'!$F$91:$F$152,'Customer Invoices and Payments'!$D$91:$D$152,A56)</f>
        <v>127567.48</v>
      </c>
      <c r="M56" s="7" t="n">
        <f aca="false">I56-K56-L56</f>
        <v>0</v>
      </c>
      <c r="N56" s="5" t="str">
        <f aca="false">IF(ROUND(M56,2)=0,"Paid",IF(L56&gt;0,IF(J56&lt;DATE(2026,9,30),"Partial - overdue","Partially paid"),IF(J56&lt;DATE(2026,9,30),"Overdue","Open")))</f>
        <v>Paid</v>
      </c>
      <c r="O56" s="13" t="n">
        <f aca="false">IF(ROUND(M56,2)&gt;0,MAX(0,DATE(2026,9,30)-J56),0)</f>
        <v>0</v>
      </c>
    </row>
    <row r="57" customFormat="false" ht="15" hidden="false" customHeight="false" outlineLevel="0" collapsed="false">
      <c r="A57" s="5" t="s">
        <v>363</v>
      </c>
      <c r="B57" s="10" t="n">
        <v>46246</v>
      </c>
      <c r="C57" s="5" t="s">
        <v>346</v>
      </c>
      <c r="D57" s="5" t="s">
        <v>126</v>
      </c>
      <c r="E57" s="5" t="s">
        <v>127</v>
      </c>
      <c r="F57" s="5" t="s">
        <v>361</v>
      </c>
      <c r="G57" s="7" t="n">
        <v>3305</v>
      </c>
      <c r="H57" s="7" t="n">
        <v>462.7</v>
      </c>
      <c r="I57" s="7" t="n">
        <f aca="false">G57+H57</f>
        <v>3767.7</v>
      </c>
      <c r="J57" s="10" t="n">
        <v>46246</v>
      </c>
      <c r="K57" s="7" t="n">
        <f aca="false">SUMIFS('Customer and Supplier Returns'!$S$2:$S$12,'Customer and Supplier Returns'!$G$2:$G$12,A57,'Customer and Supplier Returns'!$B$2:$B$12,"Customer return")</f>
        <v>0</v>
      </c>
      <c r="L57" s="7" t="n">
        <f aca="false">SUMIFS('Customer Invoices and Payments'!$F$91:$F$152,'Customer Invoices and Payments'!$D$91:$D$152,A57)</f>
        <v>3767.7</v>
      </c>
      <c r="M57" s="7" t="n">
        <f aca="false">I57-K57-L57</f>
        <v>0</v>
      </c>
      <c r="N57" s="5" t="str">
        <f aca="false">IF(ROUND(M57,2)=0,"Paid",IF(L57&gt;0,IF(J57&lt;DATE(2026,9,30),"Partial - overdue","Partially paid"),IF(J57&lt;DATE(2026,9,30),"Overdue","Open")))</f>
        <v>Paid</v>
      </c>
      <c r="O57" s="13" t="n">
        <f aca="false">IF(ROUND(M57,2)&gt;0,MAX(0,DATE(2026,9,30)-J57),0)</f>
        <v>0</v>
      </c>
    </row>
    <row r="58" customFormat="false" ht="15" hidden="false" customHeight="false" outlineLevel="0" collapsed="false">
      <c r="A58" s="5" t="s">
        <v>366</v>
      </c>
      <c r="B58" s="10" t="n">
        <v>46247</v>
      </c>
      <c r="C58" s="5" t="s">
        <v>346</v>
      </c>
      <c r="D58" s="5" t="s">
        <v>126</v>
      </c>
      <c r="E58" s="5" t="s">
        <v>127</v>
      </c>
      <c r="F58" s="5" t="s">
        <v>364</v>
      </c>
      <c r="G58" s="7" t="n">
        <v>2240</v>
      </c>
      <c r="H58" s="7" t="n">
        <v>313.6</v>
      </c>
      <c r="I58" s="7" t="n">
        <f aca="false">G58+H58</f>
        <v>2553.6</v>
      </c>
      <c r="J58" s="10" t="n">
        <v>46247</v>
      </c>
      <c r="K58" s="7" t="n">
        <f aca="false">SUMIFS('Customer and Supplier Returns'!$S$2:$S$12,'Customer and Supplier Returns'!$G$2:$G$12,A58,'Customer and Supplier Returns'!$B$2:$B$12,"Customer return")</f>
        <v>0</v>
      </c>
      <c r="L58" s="7" t="n">
        <f aca="false">SUMIFS('Customer Invoices and Payments'!$F$91:$F$152,'Customer Invoices and Payments'!$D$91:$D$152,A58)</f>
        <v>2553.6</v>
      </c>
      <c r="M58" s="7" t="n">
        <f aca="false">I58-K58-L58</f>
        <v>0</v>
      </c>
      <c r="N58" s="5" t="str">
        <f aca="false">IF(ROUND(M58,2)=0,"Paid",IF(L58&gt;0,IF(J58&lt;DATE(2026,9,30),"Partial - overdue","Partially paid"),IF(J58&lt;DATE(2026,9,30),"Overdue","Open")))</f>
        <v>Paid</v>
      </c>
      <c r="O58" s="13" t="n">
        <f aca="false">IF(ROUND(M58,2)&gt;0,MAX(0,DATE(2026,9,30)-J58),0)</f>
        <v>0</v>
      </c>
    </row>
    <row r="59" customFormat="false" ht="15" hidden="false" customHeight="false" outlineLevel="0" collapsed="false">
      <c r="A59" s="5" t="s">
        <v>351</v>
      </c>
      <c r="B59" s="10" t="n">
        <v>46250</v>
      </c>
      <c r="C59" s="5" t="s">
        <v>346</v>
      </c>
      <c r="D59" s="5" t="s">
        <v>55</v>
      </c>
      <c r="E59" s="5" t="s">
        <v>56</v>
      </c>
      <c r="F59" s="5" t="s">
        <v>349</v>
      </c>
      <c r="G59" s="7" t="n">
        <v>329417.2</v>
      </c>
      <c r="H59" s="7" t="n">
        <v>46118.41</v>
      </c>
      <c r="I59" s="7" t="n">
        <f aca="false">G59+H59</f>
        <v>375535.61</v>
      </c>
      <c r="J59" s="10" t="n">
        <v>46295</v>
      </c>
      <c r="K59" s="7" t="n">
        <f aca="false">SUMIFS('Customer and Supplier Returns'!$S$2:$S$12,'Customer and Supplier Returns'!$G$2:$G$12,A59,'Customer and Supplier Returns'!$B$2:$B$12,"Customer return")</f>
        <v>0</v>
      </c>
      <c r="L59" s="7" t="n">
        <f aca="false">SUMIFS('Customer Invoices and Payments'!$F$91:$F$152,'Customer Invoices and Payments'!$D$91:$D$152,A59)</f>
        <v>0</v>
      </c>
      <c r="M59" s="7" t="n">
        <f aca="false">I59-K59-L59</f>
        <v>375535.61</v>
      </c>
      <c r="N59" s="5" t="str">
        <f aca="false">IF(ROUND(M59,2)=0,"Paid",IF(L59&gt;0,IF(J59&lt;DATE(2026,9,30),"Partial - overdue","Partially paid"),IF(J59&lt;DATE(2026,9,30),"Overdue","Open")))</f>
        <v>Open</v>
      </c>
      <c r="O59" s="13" t="n">
        <f aca="false">IF(ROUND(M59,2)&gt;0,MAX(0,DATE(2026,9,30)-J59),0)</f>
        <v>0</v>
      </c>
    </row>
    <row r="60" customFormat="false" ht="15" hidden="false" customHeight="false" outlineLevel="0" collapsed="false">
      <c r="A60" s="5" t="s">
        <v>357</v>
      </c>
      <c r="B60" s="10" t="n">
        <v>46250</v>
      </c>
      <c r="C60" s="5" t="s">
        <v>346</v>
      </c>
      <c r="D60" s="5" t="s">
        <v>118</v>
      </c>
      <c r="E60" s="5" t="s">
        <v>119</v>
      </c>
      <c r="F60" s="5" t="s">
        <v>355</v>
      </c>
      <c r="G60" s="7" t="n">
        <v>119090</v>
      </c>
      <c r="H60" s="7" t="n">
        <v>16672.6</v>
      </c>
      <c r="I60" s="7" t="n">
        <f aca="false">G60+H60</f>
        <v>135762.6</v>
      </c>
      <c r="J60" s="10" t="n">
        <v>46280</v>
      </c>
      <c r="K60" s="7" t="n">
        <f aca="false">SUMIFS('Customer and Supplier Returns'!$S$2:$S$12,'Customer and Supplier Returns'!$G$2:$G$12,A60,'Customer and Supplier Returns'!$B$2:$B$12,"Customer return")</f>
        <v>0</v>
      </c>
      <c r="L60" s="7" t="n">
        <f aca="false">SUMIFS('Customer Invoices and Payments'!$F$91:$F$152,'Customer Invoices and Payments'!$D$91:$D$152,A60)</f>
        <v>0</v>
      </c>
      <c r="M60" s="7" t="n">
        <f aca="false">I60-K60-L60</f>
        <v>135762.6</v>
      </c>
      <c r="N60" s="5" t="str">
        <f aca="false">IF(ROUND(M60,2)=0,"Paid",IF(L60&gt;0,IF(J60&lt;DATE(2026,9,30),"Partial - overdue","Partially paid"),IF(J60&lt;DATE(2026,9,30),"Overdue","Open")))</f>
        <v>Overdue</v>
      </c>
      <c r="O60" s="13" t="n">
        <f aca="false">IF(ROUND(M60,2)&gt;0,MAX(0,DATE(2026,9,30)-J60),0)</f>
        <v>15</v>
      </c>
    </row>
    <row r="61" customFormat="false" ht="15" hidden="false" customHeight="false" outlineLevel="0" collapsed="false">
      <c r="A61" s="5" t="s">
        <v>369</v>
      </c>
      <c r="B61" s="10" t="n">
        <v>46253</v>
      </c>
      <c r="C61" s="5" t="s">
        <v>346</v>
      </c>
      <c r="D61" s="5" t="s">
        <v>69</v>
      </c>
      <c r="E61" s="5" t="s">
        <v>70</v>
      </c>
      <c r="F61" s="5" t="s">
        <v>367</v>
      </c>
      <c r="G61" s="7" t="n">
        <v>86600</v>
      </c>
      <c r="H61" s="7" t="n">
        <v>12124</v>
      </c>
      <c r="I61" s="7" t="n">
        <f aca="false">G61+H61</f>
        <v>98724</v>
      </c>
      <c r="J61" s="10" t="n">
        <v>46268</v>
      </c>
      <c r="K61" s="7" t="n">
        <f aca="false">SUMIFS('Customer and Supplier Returns'!$S$2:$S$12,'Customer and Supplier Returns'!$G$2:$G$12,A61,'Customer and Supplier Returns'!$B$2:$B$12,"Customer return")</f>
        <v>0</v>
      </c>
      <c r="L61" s="7" t="n">
        <f aca="false">SUMIFS('Customer Invoices and Payments'!$F$91:$F$152,'Customer Invoices and Payments'!$D$91:$D$152,A61)</f>
        <v>98724</v>
      </c>
      <c r="M61" s="7" t="n">
        <f aca="false">I61-K61-L61</f>
        <v>0</v>
      </c>
      <c r="N61" s="5" t="str">
        <f aca="false">IF(ROUND(M61,2)=0,"Paid",IF(L61&gt;0,IF(J61&lt;DATE(2026,9,30),"Partial - overdue","Partially paid"),IF(J61&lt;DATE(2026,9,30),"Overdue","Open")))</f>
        <v>Paid</v>
      </c>
      <c r="O61" s="13" t="n">
        <f aca="false">IF(ROUND(M61,2)&gt;0,MAX(0,DATE(2026,9,30)-J61),0)</f>
        <v>0</v>
      </c>
    </row>
    <row r="62" customFormat="false" ht="15" hidden="false" customHeight="false" outlineLevel="0" collapsed="false">
      <c r="A62" s="5" t="s">
        <v>378</v>
      </c>
      <c r="B62" s="10" t="n">
        <v>46254</v>
      </c>
      <c r="C62" s="5" t="s">
        <v>346</v>
      </c>
      <c r="D62" s="5" t="s">
        <v>126</v>
      </c>
      <c r="E62" s="5" t="s">
        <v>127</v>
      </c>
      <c r="F62" s="5" t="s">
        <v>376</v>
      </c>
      <c r="G62" s="7" t="n">
        <v>4486</v>
      </c>
      <c r="H62" s="7" t="n">
        <v>628.04</v>
      </c>
      <c r="I62" s="7" t="n">
        <f aca="false">G62+H62</f>
        <v>5114.04</v>
      </c>
      <c r="J62" s="10" t="n">
        <v>46254</v>
      </c>
      <c r="K62" s="7" t="n">
        <f aca="false">SUMIFS('Customer and Supplier Returns'!$S$2:$S$12,'Customer and Supplier Returns'!$G$2:$G$12,A62,'Customer and Supplier Returns'!$B$2:$B$12,"Customer return")</f>
        <v>0</v>
      </c>
      <c r="L62" s="7" t="n">
        <f aca="false">SUMIFS('Customer Invoices and Payments'!$F$91:$F$152,'Customer Invoices and Payments'!$D$91:$D$152,A62)</f>
        <v>5114.04</v>
      </c>
      <c r="M62" s="7" t="n">
        <f aca="false">I62-K62-L62</f>
        <v>0</v>
      </c>
      <c r="N62" s="5" t="str">
        <f aca="false">IF(ROUND(M62,2)=0,"Paid",IF(L62&gt;0,IF(J62&lt;DATE(2026,9,30),"Partial - overdue","Partially paid"),IF(J62&lt;DATE(2026,9,30),"Overdue","Open")))</f>
        <v>Paid</v>
      </c>
      <c r="O62" s="13" t="n">
        <f aca="false">IF(ROUND(M62,2)&gt;0,MAX(0,DATE(2026,9,30)-J62),0)</f>
        <v>0</v>
      </c>
    </row>
    <row r="63" customFormat="false" ht="15" hidden="false" customHeight="false" outlineLevel="0" collapsed="false">
      <c r="A63" s="5" t="s">
        <v>360</v>
      </c>
      <c r="B63" s="10" t="n">
        <v>46257</v>
      </c>
      <c r="C63" s="5" t="s">
        <v>346</v>
      </c>
      <c r="D63" s="5" t="s">
        <v>83</v>
      </c>
      <c r="E63" s="5" t="s">
        <v>84</v>
      </c>
      <c r="F63" s="5" t="s">
        <v>358</v>
      </c>
      <c r="G63" s="7" t="n">
        <v>23125000</v>
      </c>
      <c r="H63" s="7" t="n">
        <v>3237500</v>
      </c>
      <c r="I63" s="7" t="n">
        <f aca="false">G63+H63</f>
        <v>26362500</v>
      </c>
      <c r="J63" s="10" t="n">
        <v>46317</v>
      </c>
      <c r="K63" s="7" t="n">
        <f aca="false">SUMIFS('Customer and Supplier Returns'!$S$2:$S$12,'Customer and Supplier Returns'!$G$2:$G$12,A63,'Customer and Supplier Returns'!$B$2:$B$12,"Customer return")</f>
        <v>0</v>
      </c>
      <c r="L63" s="7" t="n">
        <f aca="false">SUMIFS('Customer Invoices and Payments'!$F$91:$F$152,'Customer Invoices and Payments'!$D$91:$D$152,A63)</f>
        <v>0</v>
      </c>
      <c r="M63" s="7" t="n">
        <f aca="false">I63-K63-L63</f>
        <v>26362500</v>
      </c>
      <c r="N63" s="5" t="str">
        <f aca="false">IF(ROUND(M63,2)=0,"Paid",IF(L63&gt;0,IF(J63&lt;DATE(2026,9,30),"Partial - overdue","Partially paid"),IF(J63&lt;DATE(2026,9,30),"Overdue","Open")))</f>
        <v>Open</v>
      </c>
      <c r="O63" s="13" t="n">
        <f aca="false">IF(ROUND(M63,2)&gt;0,MAX(0,DATE(2026,9,30)-J63),0)</f>
        <v>0</v>
      </c>
    </row>
    <row r="64" customFormat="false" ht="15" hidden="false" customHeight="false" outlineLevel="0" collapsed="false">
      <c r="A64" s="5" t="s">
        <v>372</v>
      </c>
      <c r="B64" s="10" t="n">
        <v>46257</v>
      </c>
      <c r="C64" s="5" t="s">
        <v>346</v>
      </c>
      <c r="D64" s="5" t="s">
        <v>111</v>
      </c>
      <c r="E64" s="5" t="s">
        <v>112</v>
      </c>
      <c r="F64" s="5" t="s">
        <v>370</v>
      </c>
      <c r="G64" s="7" t="n">
        <v>347375.7</v>
      </c>
      <c r="H64" s="7" t="n">
        <v>48632.6</v>
      </c>
      <c r="I64" s="7" t="n">
        <f aca="false">G64+H64</f>
        <v>396008.3</v>
      </c>
      <c r="J64" s="10" t="n">
        <v>46302</v>
      </c>
      <c r="K64" s="7" t="n">
        <f aca="false">SUMIFS('Customer and Supplier Returns'!$S$2:$S$12,'Customer and Supplier Returns'!$G$2:$G$12,A64,'Customer and Supplier Returns'!$B$2:$B$12,"Customer return")</f>
        <v>0</v>
      </c>
      <c r="L64" s="7" t="n">
        <f aca="false">SUMIFS('Customer Invoices and Payments'!$F$91:$F$152,'Customer Invoices and Payments'!$D$91:$D$152,A64)</f>
        <v>0</v>
      </c>
      <c r="M64" s="7" t="n">
        <f aca="false">I64-K64-L64</f>
        <v>396008.3</v>
      </c>
      <c r="N64" s="5" t="str">
        <f aca="false">IF(ROUND(M64,2)=0,"Paid",IF(L64&gt;0,IF(J64&lt;DATE(2026,9,30),"Partial - overdue","Partially paid"),IF(J64&lt;DATE(2026,9,30),"Overdue","Open")))</f>
        <v>Open</v>
      </c>
      <c r="O64" s="13" t="n">
        <f aca="false">IF(ROUND(M64,2)&gt;0,MAX(0,DATE(2026,9,30)-J64),0)</f>
        <v>0</v>
      </c>
    </row>
    <row r="65" customFormat="false" ht="15" hidden="false" customHeight="false" outlineLevel="0" collapsed="false">
      <c r="A65" s="5" t="s">
        <v>375</v>
      </c>
      <c r="B65" s="10" t="n">
        <v>46258</v>
      </c>
      <c r="C65" s="5" t="s">
        <v>346</v>
      </c>
      <c r="D65" s="5" t="s">
        <v>97</v>
      </c>
      <c r="E65" s="5" t="s">
        <v>98</v>
      </c>
      <c r="F65" s="5" t="s">
        <v>373</v>
      </c>
      <c r="G65" s="7" t="n">
        <v>134045</v>
      </c>
      <c r="H65" s="7" t="n">
        <v>18766.3</v>
      </c>
      <c r="I65" s="7" t="n">
        <f aca="false">G65+H65</f>
        <v>152811.3</v>
      </c>
      <c r="J65" s="10" t="n">
        <v>46318</v>
      </c>
      <c r="K65" s="7" t="n">
        <f aca="false">SUMIFS('Customer and Supplier Returns'!$S$2:$S$12,'Customer and Supplier Returns'!$G$2:$G$12,A65,'Customer and Supplier Returns'!$B$2:$B$12,"Customer return")</f>
        <v>0</v>
      </c>
      <c r="L65" s="7" t="n">
        <f aca="false">SUMIFS('Customer Invoices and Payments'!$F$91:$F$152,'Customer Invoices and Payments'!$D$91:$D$152,A65)</f>
        <v>0</v>
      </c>
      <c r="M65" s="7" t="n">
        <f aca="false">I65-K65-L65</f>
        <v>152811.3</v>
      </c>
      <c r="N65" s="5" t="str">
        <f aca="false">IF(ROUND(M65,2)=0,"Paid",IF(L65&gt;0,IF(J65&lt;DATE(2026,9,30),"Partial - overdue","Partially paid"),IF(J65&lt;DATE(2026,9,30),"Overdue","Open")))</f>
        <v>Open</v>
      </c>
      <c r="O65" s="13" t="n">
        <f aca="false">IF(ROUND(M65,2)&gt;0,MAX(0,DATE(2026,9,30)-J65),0)</f>
        <v>0</v>
      </c>
    </row>
    <row r="66" customFormat="false" ht="15" hidden="false" customHeight="false" outlineLevel="0" collapsed="false">
      <c r="A66" s="5" t="s">
        <v>381</v>
      </c>
      <c r="B66" s="10" t="n">
        <v>46258</v>
      </c>
      <c r="C66" s="5" t="s">
        <v>346</v>
      </c>
      <c r="D66" s="5" t="s">
        <v>104</v>
      </c>
      <c r="E66" s="5" t="s">
        <v>105</v>
      </c>
      <c r="F66" s="5" t="s">
        <v>379</v>
      </c>
      <c r="G66" s="7" t="n">
        <v>83875.9</v>
      </c>
      <c r="H66" s="7" t="n">
        <v>11742.63</v>
      </c>
      <c r="I66" s="7" t="n">
        <f aca="false">G66+H66</f>
        <v>95618.53</v>
      </c>
      <c r="J66" s="10" t="n">
        <v>46288</v>
      </c>
      <c r="K66" s="7" t="n">
        <f aca="false">SUMIFS('Customer and Supplier Returns'!$S$2:$S$12,'Customer and Supplier Returns'!$G$2:$G$12,A66,'Customer and Supplier Returns'!$B$2:$B$12,"Customer return")</f>
        <v>0</v>
      </c>
      <c r="L66" s="7" t="n">
        <f aca="false">SUMIFS('Customer Invoices and Payments'!$F$91:$F$152,'Customer Invoices and Payments'!$D$91:$D$152,A66)</f>
        <v>95618.53</v>
      </c>
      <c r="M66" s="7" t="n">
        <f aca="false">I66-K66-L66</f>
        <v>0</v>
      </c>
      <c r="N66" s="5" t="str">
        <f aca="false">IF(ROUND(M66,2)=0,"Paid",IF(L66&gt;0,IF(J66&lt;DATE(2026,9,30),"Partial - overdue","Partially paid"),IF(J66&lt;DATE(2026,9,30),"Overdue","Open")))</f>
        <v>Paid</v>
      </c>
      <c r="O66" s="13" t="n">
        <f aca="false">IF(ROUND(M66,2)&gt;0,MAX(0,DATE(2026,9,30)-J66),0)</f>
        <v>0</v>
      </c>
    </row>
    <row r="67" customFormat="false" ht="15" hidden="false" customHeight="false" outlineLevel="0" collapsed="false">
      <c r="A67" s="5" t="s">
        <v>384</v>
      </c>
      <c r="B67" s="10" t="n">
        <v>46258</v>
      </c>
      <c r="C67" s="5" t="s">
        <v>346</v>
      </c>
      <c r="D67" s="5" t="s">
        <v>126</v>
      </c>
      <c r="E67" s="5" t="s">
        <v>127</v>
      </c>
      <c r="F67" s="5" t="s">
        <v>382</v>
      </c>
      <c r="G67" s="7" t="n">
        <v>2070</v>
      </c>
      <c r="H67" s="7" t="n">
        <v>289.8</v>
      </c>
      <c r="I67" s="7" t="n">
        <f aca="false">G67+H67</f>
        <v>2359.8</v>
      </c>
      <c r="J67" s="10" t="n">
        <v>46258</v>
      </c>
      <c r="K67" s="7" t="n">
        <f aca="false">SUMIFS('Customer and Supplier Returns'!$S$2:$S$12,'Customer and Supplier Returns'!$G$2:$G$12,A67,'Customer and Supplier Returns'!$B$2:$B$12,"Customer return")</f>
        <v>0</v>
      </c>
      <c r="L67" s="7" t="n">
        <f aca="false">SUMIFS('Customer Invoices and Payments'!$F$91:$F$152,'Customer Invoices and Payments'!$D$91:$D$152,A67)</f>
        <v>2359.8</v>
      </c>
      <c r="M67" s="7" t="n">
        <f aca="false">I67-K67-L67</f>
        <v>0</v>
      </c>
      <c r="N67" s="5" t="str">
        <f aca="false">IF(ROUND(M67,2)=0,"Paid",IF(L67&gt;0,IF(J67&lt;DATE(2026,9,30),"Partial - overdue","Partially paid"),IF(J67&lt;DATE(2026,9,30),"Overdue","Open")))</f>
        <v>Paid</v>
      </c>
      <c r="O67" s="13" t="n">
        <f aca="false">IF(ROUND(M67,2)&gt;0,MAX(0,DATE(2026,9,30)-J67),0)</f>
        <v>0</v>
      </c>
    </row>
    <row r="68" customFormat="false" ht="15" hidden="false" customHeight="false" outlineLevel="0" collapsed="false">
      <c r="A68" s="5" t="s">
        <v>387</v>
      </c>
      <c r="B68" s="10" t="n">
        <v>46264</v>
      </c>
      <c r="C68" s="5" t="s">
        <v>346</v>
      </c>
      <c r="D68" s="5" t="s">
        <v>38</v>
      </c>
      <c r="E68" s="5" t="s">
        <v>39</v>
      </c>
      <c r="F68" s="5" t="s">
        <v>385</v>
      </c>
      <c r="G68" s="7" t="n">
        <v>153745</v>
      </c>
      <c r="H68" s="7" t="n">
        <v>21524.3</v>
      </c>
      <c r="I68" s="7" t="n">
        <f aca="false">G68+H68</f>
        <v>175269.3</v>
      </c>
      <c r="J68" s="10" t="n">
        <v>46294</v>
      </c>
      <c r="K68" s="7" t="n">
        <f aca="false">SUMIFS('Customer and Supplier Returns'!$S$2:$S$12,'Customer and Supplier Returns'!$G$2:$G$12,A68,'Customer and Supplier Returns'!$B$2:$B$12,"Customer return")</f>
        <v>0</v>
      </c>
      <c r="L68" s="7" t="n">
        <f aca="false">SUMIFS('Customer Invoices and Payments'!$F$91:$F$152,'Customer Invoices and Payments'!$D$91:$D$152,A68)</f>
        <v>175269.3</v>
      </c>
      <c r="M68" s="7" t="n">
        <f aca="false">I68-K68-L68</f>
        <v>0</v>
      </c>
      <c r="N68" s="5" t="str">
        <f aca="false">IF(ROUND(M68,2)=0,"Paid",IF(L68&gt;0,IF(J68&lt;DATE(2026,9,30),"Partial - overdue","Partially paid"),IF(J68&lt;DATE(2026,9,30),"Overdue","Open")))</f>
        <v>Paid</v>
      </c>
      <c r="O68" s="13" t="n">
        <f aca="false">IF(ROUND(M68,2)&gt;0,MAX(0,DATE(2026,9,30)-J68),0)</f>
        <v>0</v>
      </c>
    </row>
    <row r="69" customFormat="false" ht="15" hidden="false" customHeight="false" outlineLevel="0" collapsed="false">
      <c r="A69" s="5" t="s">
        <v>390</v>
      </c>
      <c r="B69" s="10" t="n">
        <v>46265</v>
      </c>
      <c r="C69" s="5" t="s">
        <v>346</v>
      </c>
      <c r="D69" s="5" t="s">
        <v>90</v>
      </c>
      <c r="E69" s="5" t="s">
        <v>91</v>
      </c>
      <c r="F69" s="5" t="s">
        <v>388</v>
      </c>
      <c r="G69" s="7" t="n">
        <v>136910</v>
      </c>
      <c r="H69" s="7" t="n">
        <v>19167.4</v>
      </c>
      <c r="I69" s="7" t="n">
        <f aca="false">G69+H69</f>
        <v>156077.4</v>
      </c>
      <c r="J69" s="10" t="n">
        <v>46280</v>
      </c>
      <c r="K69" s="7" t="n">
        <f aca="false">SUMIFS('Customer and Supplier Returns'!$S$2:$S$12,'Customer and Supplier Returns'!$G$2:$G$12,A69,'Customer and Supplier Returns'!$B$2:$B$12,"Customer return")</f>
        <v>0</v>
      </c>
      <c r="L69" s="7" t="n">
        <f aca="false">SUMIFS('Customer Invoices and Payments'!$F$91:$F$152,'Customer Invoices and Payments'!$D$91:$D$152,A69)</f>
        <v>156077.4</v>
      </c>
      <c r="M69" s="7" t="n">
        <f aca="false">I69-K69-L69</f>
        <v>0</v>
      </c>
      <c r="N69" s="5" t="str">
        <f aca="false">IF(ROUND(M69,2)=0,"Paid",IF(L69&gt;0,IF(J69&lt;DATE(2026,9,30),"Partial - overdue","Partially paid"),IF(J69&lt;DATE(2026,9,30),"Overdue","Open")))</f>
        <v>Paid</v>
      </c>
      <c r="O69" s="13" t="n">
        <f aca="false">IF(ROUND(M69,2)&gt;0,MAX(0,DATE(2026,9,30)-J69),0)</f>
        <v>0</v>
      </c>
    </row>
    <row r="70" customFormat="false" ht="15" hidden="false" customHeight="false" outlineLevel="0" collapsed="false">
      <c r="A70" s="5" t="s">
        <v>393</v>
      </c>
      <c r="B70" s="10" t="n">
        <v>46266</v>
      </c>
      <c r="C70" s="5" t="s">
        <v>401</v>
      </c>
      <c r="D70" s="5" t="s">
        <v>62</v>
      </c>
      <c r="E70" s="5" t="s">
        <v>63</v>
      </c>
      <c r="F70" s="5" t="s">
        <v>391</v>
      </c>
      <c r="G70" s="7" t="n">
        <v>327316.8</v>
      </c>
      <c r="H70" s="7" t="n">
        <v>45824.35</v>
      </c>
      <c r="I70" s="7" t="n">
        <f aca="false">G70+H70</f>
        <v>373141.15</v>
      </c>
      <c r="J70" s="10" t="n">
        <v>46296</v>
      </c>
      <c r="K70" s="7" t="n">
        <f aca="false">SUMIFS('Customer and Supplier Returns'!$S$2:$S$12,'Customer and Supplier Returns'!$G$2:$G$12,A70,'Customer and Supplier Returns'!$B$2:$B$12,"Customer return")</f>
        <v>0</v>
      </c>
      <c r="L70" s="7" t="n">
        <f aca="false">SUMIFS('Customer Invoices and Payments'!$F$91:$F$152,'Customer Invoices and Payments'!$D$91:$D$152,A70)</f>
        <v>0</v>
      </c>
      <c r="M70" s="7" t="n">
        <f aca="false">I70-K70-L70</f>
        <v>373141.15</v>
      </c>
      <c r="N70" s="5" t="str">
        <f aca="false">IF(ROUND(M70,2)=0,"Paid",IF(L70&gt;0,IF(J70&lt;DATE(2026,9,30),"Partial - overdue","Partially paid"),IF(J70&lt;DATE(2026,9,30),"Overdue","Open")))</f>
        <v>Open</v>
      </c>
      <c r="O70" s="13" t="n">
        <f aca="false">IF(ROUND(M70,2)&gt;0,MAX(0,DATE(2026,9,30)-J70),0)</f>
        <v>0</v>
      </c>
    </row>
    <row r="71" customFormat="false" ht="15" hidden="false" customHeight="false" outlineLevel="0" collapsed="false">
      <c r="A71" s="5" t="s">
        <v>399</v>
      </c>
      <c r="B71" s="10" t="n">
        <v>46266</v>
      </c>
      <c r="C71" s="5" t="s">
        <v>401</v>
      </c>
      <c r="D71" s="5" t="s">
        <v>83</v>
      </c>
      <c r="E71" s="5" t="s">
        <v>84</v>
      </c>
      <c r="F71" s="5" t="s">
        <v>397</v>
      </c>
      <c r="G71" s="7" t="n">
        <v>100026</v>
      </c>
      <c r="H71" s="7" t="n">
        <v>14003.64</v>
      </c>
      <c r="I71" s="7" t="n">
        <f aca="false">G71+H71</f>
        <v>114029.64</v>
      </c>
      <c r="J71" s="10" t="n">
        <v>46326</v>
      </c>
      <c r="K71" s="7" t="n">
        <f aca="false">SUMIFS('Customer and Supplier Returns'!$S$2:$S$12,'Customer and Supplier Returns'!$G$2:$G$12,A71,'Customer and Supplier Returns'!$B$2:$B$12,"Customer return")</f>
        <v>0</v>
      </c>
      <c r="L71" s="7" t="n">
        <f aca="false">SUMIFS('Customer Invoices and Payments'!$F$91:$F$152,'Customer Invoices and Payments'!$D$91:$D$152,A71)</f>
        <v>0</v>
      </c>
      <c r="M71" s="7" t="n">
        <f aca="false">I71-K71-L71</f>
        <v>114029.64</v>
      </c>
      <c r="N71" s="5" t="str">
        <f aca="false">IF(ROUND(M71,2)=0,"Paid",IF(L71&gt;0,IF(J71&lt;DATE(2026,9,30),"Partial - overdue","Partially paid"),IF(J71&lt;DATE(2026,9,30),"Overdue","Open")))</f>
        <v>Open</v>
      </c>
      <c r="O71" s="13" t="n">
        <f aca="false">IF(ROUND(M71,2)&gt;0,MAX(0,DATE(2026,9,30)-J71),0)</f>
        <v>0</v>
      </c>
    </row>
    <row r="72" customFormat="false" ht="15" hidden="false" customHeight="false" outlineLevel="0" collapsed="false">
      <c r="A72" s="5" t="s">
        <v>396</v>
      </c>
      <c r="B72" s="10" t="n">
        <v>46271</v>
      </c>
      <c r="C72" s="5" t="s">
        <v>401</v>
      </c>
      <c r="D72" s="5" t="s">
        <v>47</v>
      </c>
      <c r="E72" s="5" t="s">
        <v>48</v>
      </c>
      <c r="F72" s="5" t="s">
        <v>394</v>
      </c>
      <c r="G72" s="7" t="n">
        <v>907236.15</v>
      </c>
      <c r="H72" s="7" t="n">
        <v>127013.06</v>
      </c>
      <c r="I72" s="7" t="n">
        <f aca="false">G72+H72</f>
        <v>1034249.21</v>
      </c>
      <c r="J72" s="10" t="n">
        <v>46316</v>
      </c>
      <c r="K72" s="7" t="n">
        <f aca="false">SUMIFS('Customer and Supplier Returns'!$S$2:$S$12,'Customer and Supplier Returns'!$G$2:$G$12,A72,'Customer and Supplier Returns'!$B$2:$B$12,"Customer return")</f>
        <v>923343</v>
      </c>
      <c r="L72" s="7" t="n">
        <f aca="false">SUMIFS('Customer Invoices and Payments'!$F$91:$F$152,'Customer Invoices and Payments'!$D$91:$D$152,A72)</f>
        <v>0</v>
      </c>
      <c r="M72" s="7" t="n">
        <f aca="false">I72-K72-L72</f>
        <v>110906.21</v>
      </c>
      <c r="N72" s="5" t="str">
        <f aca="false">IF(ROUND(M72,2)=0,"Paid",IF(L72&gt;0,IF(J72&lt;DATE(2026,9,30),"Partial - overdue","Partially paid"),IF(J72&lt;DATE(2026,9,30),"Overdue","Open")))</f>
        <v>Open</v>
      </c>
      <c r="O72" s="13" t="n">
        <f aca="false">IF(ROUND(M72,2)&gt;0,MAX(0,DATE(2026,9,30)-J72),0)</f>
        <v>0</v>
      </c>
    </row>
    <row r="73" customFormat="false" ht="15" hidden="false" customHeight="false" outlineLevel="0" collapsed="false">
      <c r="A73" s="5" t="s">
        <v>406</v>
      </c>
      <c r="B73" s="10" t="n">
        <v>46274</v>
      </c>
      <c r="C73" s="5" t="s">
        <v>401</v>
      </c>
      <c r="D73" s="5" t="s">
        <v>126</v>
      </c>
      <c r="E73" s="5" t="s">
        <v>127</v>
      </c>
      <c r="F73" s="5" t="s">
        <v>404</v>
      </c>
      <c r="G73" s="7" t="n">
        <v>870</v>
      </c>
      <c r="H73" s="7" t="n">
        <v>121.8</v>
      </c>
      <c r="I73" s="7" t="n">
        <f aca="false">G73+H73</f>
        <v>991.8</v>
      </c>
      <c r="J73" s="10" t="n">
        <v>46274</v>
      </c>
      <c r="K73" s="7" t="n">
        <f aca="false">SUMIFS('Customer and Supplier Returns'!$S$2:$S$12,'Customer and Supplier Returns'!$G$2:$G$12,A73,'Customer and Supplier Returns'!$B$2:$B$12,"Customer return")</f>
        <v>0</v>
      </c>
      <c r="L73" s="7" t="n">
        <f aca="false">SUMIFS('Customer Invoices and Payments'!$F$91:$F$152,'Customer Invoices and Payments'!$D$91:$D$152,A73)</f>
        <v>991.8</v>
      </c>
      <c r="M73" s="7" t="n">
        <f aca="false">I73-K73-L73</f>
        <v>0</v>
      </c>
      <c r="N73" s="5" t="str">
        <f aca="false">IF(ROUND(M73,2)=0,"Paid",IF(L73&gt;0,IF(J73&lt;DATE(2026,9,30),"Partial - overdue","Partially paid"),IF(J73&lt;DATE(2026,9,30),"Overdue","Open")))</f>
        <v>Paid</v>
      </c>
      <c r="O73" s="13" t="n">
        <f aca="false">IF(ROUND(M73,2)&gt;0,MAX(0,DATE(2026,9,30)-J73),0)</f>
        <v>0</v>
      </c>
    </row>
    <row r="74" customFormat="false" ht="15" hidden="false" customHeight="false" outlineLevel="0" collapsed="false">
      <c r="A74" s="5" t="s">
        <v>409</v>
      </c>
      <c r="B74" s="10" t="n">
        <v>46275</v>
      </c>
      <c r="C74" s="5" t="s">
        <v>401</v>
      </c>
      <c r="D74" s="5" t="s">
        <v>126</v>
      </c>
      <c r="E74" s="5" t="s">
        <v>127</v>
      </c>
      <c r="F74" s="5" t="s">
        <v>407</v>
      </c>
      <c r="G74" s="7" t="n">
        <v>2300</v>
      </c>
      <c r="H74" s="7" t="n">
        <v>322</v>
      </c>
      <c r="I74" s="7" t="n">
        <f aca="false">G74+H74</f>
        <v>2622</v>
      </c>
      <c r="J74" s="10" t="n">
        <v>46275</v>
      </c>
      <c r="K74" s="7" t="n">
        <f aca="false">SUMIFS('Customer and Supplier Returns'!$S$2:$S$12,'Customer and Supplier Returns'!$G$2:$G$12,A74,'Customer and Supplier Returns'!$B$2:$B$12,"Customer return")</f>
        <v>0</v>
      </c>
      <c r="L74" s="7" t="n">
        <f aca="false">SUMIFS('Customer Invoices and Payments'!$F$91:$F$152,'Customer Invoices and Payments'!$D$91:$D$152,A74)</f>
        <v>2622</v>
      </c>
      <c r="M74" s="7" t="n">
        <f aca="false">I74-K74-L74</f>
        <v>0</v>
      </c>
      <c r="N74" s="5" t="str">
        <f aca="false">IF(ROUND(M74,2)=0,"Paid",IF(L74&gt;0,IF(J74&lt;DATE(2026,9,30),"Partial - overdue","Partially paid"),IF(J74&lt;DATE(2026,9,30),"Overdue","Open")))</f>
        <v>Paid</v>
      </c>
      <c r="O74" s="13" t="n">
        <f aca="false">IF(ROUND(M74,2)&gt;0,MAX(0,DATE(2026,9,30)-J74),0)</f>
        <v>0</v>
      </c>
    </row>
    <row r="75" customFormat="false" ht="15" hidden="false" customHeight="false" outlineLevel="0" collapsed="false">
      <c r="A75" s="5" t="s">
        <v>415</v>
      </c>
      <c r="B75" s="10" t="n">
        <v>46280</v>
      </c>
      <c r="C75" s="5" t="s">
        <v>401</v>
      </c>
      <c r="D75" s="5" t="s">
        <v>126</v>
      </c>
      <c r="E75" s="5" t="s">
        <v>127</v>
      </c>
      <c r="F75" s="5" t="s">
        <v>413</v>
      </c>
      <c r="G75" s="7" t="n">
        <v>4215</v>
      </c>
      <c r="H75" s="7" t="n">
        <v>590.1</v>
      </c>
      <c r="I75" s="7" t="n">
        <f aca="false">G75+H75</f>
        <v>4805.1</v>
      </c>
      <c r="J75" s="10" t="n">
        <v>46280</v>
      </c>
      <c r="K75" s="7" t="n">
        <f aca="false">SUMIFS('Customer and Supplier Returns'!$S$2:$S$12,'Customer and Supplier Returns'!$G$2:$G$12,A75,'Customer and Supplier Returns'!$B$2:$B$12,"Customer return")</f>
        <v>0</v>
      </c>
      <c r="L75" s="7" t="n">
        <f aca="false">SUMIFS('Customer Invoices and Payments'!$F$91:$F$152,'Customer Invoices and Payments'!$D$91:$D$152,A75)</f>
        <v>4805.1</v>
      </c>
      <c r="M75" s="7" t="n">
        <f aca="false">I75-K75-L75</f>
        <v>0</v>
      </c>
      <c r="N75" s="5" t="str">
        <f aca="false">IF(ROUND(M75,2)=0,"Paid",IF(L75&gt;0,IF(J75&lt;DATE(2026,9,30),"Partial - overdue","Partially paid"),IF(J75&lt;DATE(2026,9,30),"Overdue","Open")))</f>
        <v>Paid</v>
      </c>
      <c r="O75" s="13" t="n">
        <f aca="false">IF(ROUND(M75,2)&gt;0,MAX(0,DATE(2026,9,30)-J75),0)</f>
        <v>0</v>
      </c>
    </row>
    <row r="76" customFormat="false" ht="15" hidden="false" customHeight="false" outlineLevel="0" collapsed="false">
      <c r="A76" s="5" t="s">
        <v>418</v>
      </c>
      <c r="B76" s="10" t="n">
        <v>46281</v>
      </c>
      <c r="C76" s="5" t="s">
        <v>401</v>
      </c>
      <c r="D76" s="5" t="s">
        <v>126</v>
      </c>
      <c r="E76" s="5" t="s">
        <v>127</v>
      </c>
      <c r="F76" s="5" t="s">
        <v>416</v>
      </c>
      <c r="G76" s="7" t="n">
        <v>1890</v>
      </c>
      <c r="H76" s="7" t="n">
        <v>264.6</v>
      </c>
      <c r="I76" s="7" t="n">
        <f aca="false">G76+H76</f>
        <v>2154.6</v>
      </c>
      <c r="J76" s="10" t="n">
        <v>46281</v>
      </c>
      <c r="K76" s="7" t="n">
        <f aca="false">SUMIFS('Customer and Supplier Returns'!$S$2:$S$12,'Customer and Supplier Returns'!$G$2:$G$12,A76,'Customer and Supplier Returns'!$B$2:$B$12,"Customer return")</f>
        <v>0</v>
      </c>
      <c r="L76" s="7" t="n">
        <f aca="false">SUMIFS('Customer Invoices and Payments'!$F$91:$F$152,'Customer Invoices and Payments'!$D$91:$D$152,A76)</f>
        <v>2154.6</v>
      </c>
      <c r="M76" s="7" t="n">
        <f aca="false">I76-K76-L76</f>
        <v>0</v>
      </c>
      <c r="N76" s="5" t="str">
        <f aca="false">IF(ROUND(M76,2)=0,"Paid",IF(L76&gt;0,IF(J76&lt;DATE(2026,9,30),"Partial - overdue","Partially paid"),IF(J76&lt;DATE(2026,9,30),"Overdue","Open")))</f>
        <v>Paid</v>
      </c>
      <c r="O76" s="13" t="n">
        <f aca="false">IF(ROUND(M76,2)&gt;0,MAX(0,DATE(2026,9,30)-J76),0)</f>
        <v>0</v>
      </c>
    </row>
    <row r="77" customFormat="false" ht="15" hidden="false" customHeight="false" outlineLevel="0" collapsed="false">
      <c r="A77" s="5" t="s">
        <v>403</v>
      </c>
      <c r="B77" s="10" t="n">
        <v>46282</v>
      </c>
      <c r="C77" s="5" t="s">
        <v>401</v>
      </c>
      <c r="D77" s="5" t="s">
        <v>47</v>
      </c>
      <c r="E77" s="5" t="s">
        <v>48</v>
      </c>
      <c r="F77" s="5" t="s">
        <v>400</v>
      </c>
      <c r="G77" s="7" t="n">
        <v>163687.5</v>
      </c>
      <c r="H77" s="7" t="n">
        <v>22916.25</v>
      </c>
      <c r="I77" s="7" t="n">
        <f aca="false">G77+H77</f>
        <v>186603.75</v>
      </c>
      <c r="J77" s="10" t="n">
        <v>46327</v>
      </c>
      <c r="K77" s="7" t="n">
        <f aca="false">SUMIFS('Customer and Supplier Returns'!$S$2:$S$12,'Customer and Supplier Returns'!$G$2:$G$12,A77,'Customer and Supplier Returns'!$B$2:$B$12,"Customer return")</f>
        <v>0</v>
      </c>
      <c r="L77" s="7" t="n">
        <f aca="false">SUMIFS('Customer Invoices and Payments'!$F$91:$F$152,'Customer Invoices and Payments'!$D$91:$D$152,A77)</f>
        <v>0</v>
      </c>
      <c r="M77" s="7" t="n">
        <f aca="false">I77-K77-L77</f>
        <v>186603.75</v>
      </c>
      <c r="N77" s="5" t="str">
        <f aca="false">IF(ROUND(M77,2)=0,"Paid",IF(L77&gt;0,IF(J77&lt;DATE(2026,9,30),"Partial - overdue","Partially paid"),IF(J77&lt;DATE(2026,9,30),"Overdue","Open")))</f>
        <v>Open</v>
      </c>
      <c r="O77" s="13" t="n">
        <f aca="false">IF(ROUND(M77,2)&gt;0,MAX(0,DATE(2026,9,30)-J77),0)</f>
        <v>0</v>
      </c>
    </row>
    <row r="78" customFormat="false" ht="15" hidden="false" customHeight="false" outlineLevel="0" collapsed="false">
      <c r="A78" s="5" t="s">
        <v>412</v>
      </c>
      <c r="B78" s="10" t="n">
        <v>46282</v>
      </c>
      <c r="C78" s="5" t="s">
        <v>401</v>
      </c>
      <c r="D78" s="5" t="s">
        <v>38</v>
      </c>
      <c r="E78" s="5" t="s">
        <v>39</v>
      </c>
      <c r="F78" s="5" t="s">
        <v>410</v>
      </c>
      <c r="G78" s="7" t="n">
        <v>108843.7</v>
      </c>
      <c r="H78" s="7" t="n">
        <v>15238.12</v>
      </c>
      <c r="I78" s="7" t="n">
        <f aca="false">G78+H78</f>
        <v>124081.82</v>
      </c>
      <c r="J78" s="10" t="n">
        <v>46312</v>
      </c>
      <c r="K78" s="7" t="n">
        <f aca="false">SUMIFS('Customer and Supplier Returns'!$S$2:$S$12,'Customer and Supplier Returns'!$G$2:$G$12,A78,'Customer and Supplier Returns'!$B$2:$B$12,"Customer return")</f>
        <v>0</v>
      </c>
      <c r="L78" s="7" t="n">
        <f aca="false">SUMIFS('Customer Invoices and Payments'!$F$91:$F$152,'Customer Invoices and Payments'!$D$91:$D$152,A78)</f>
        <v>0</v>
      </c>
      <c r="M78" s="7" t="n">
        <f aca="false">I78-K78-L78</f>
        <v>124081.82</v>
      </c>
      <c r="N78" s="5" t="str">
        <f aca="false">IF(ROUND(M78,2)=0,"Paid",IF(L78&gt;0,IF(J78&lt;DATE(2026,9,30),"Partial - overdue","Partially paid"),IF(J78&lt;DATE(2026,9,30),"Overdue","Open")))</f>
        <v>Open</v>
      </c>
      <c r="O78" s="13" t="n">
        <f aca="false">IF(ROUND(M78,2)&gt;0,MAX(0,DATE(2026,9,30)-J78),0)</f>
        <v>0</v>
      </c>
    </row>
    <row r="79" customFormat="false" ht="15" hidden="false" customHeight="false" outlineLevel="0" collapsed="false">
      <c r="A79" s="5" t="s">
        <v>428</v>
      </c>
      <c r="B79" s="10" t="n">
        <v>46286</v>
      </c>
      <c r="C79" s="5" t="s">
        <v>401</v>
      </c>
      <c r="D79" s="5" t="s">
        <v>111</v>
      </c>
      <c r="E79" s="5" t="s">
        <v>112</v>
      </c>
      <c r="F79" s="5" t="s">
        <v>426</v>
      </c>
      <c r="G79" s="7" t="n">
        <v>204697.5</v>
      </c>
      <c r="H79" s="7" t="n">
        <v>28657.65</v>
      </c>
      <c r="I79" s="7" t="n">
        <f aca="false">G79+H79</f>
        <v>233355.15</v>
      </c>
      <c r="J79" s="10" t="n">
        <v>46331</v>
      </c>
      <c r="K79" s="7" t="n">
        <f aca="false">SUMIFS('Customer and Supplier Returns'!$S$2:$S$12,'Customer and Supplier Returns'!$G$2:$G$12,A79,'Customer and Supplier Returns'!$B$2:$B$12,"Customer return")</f>
        <v>0</v>
      </c>
      <c r="L79" s="7" t="n">
        <f aca="false">SUMIFS('Customer Invoices and Payments'!$F$91:$F$152,'Customer Invoices and Payments'!$D$91:$D$152,A79)</f>
        <v>0</v>
      </c>
      <c r="M79" s="7" t="n">
        <f aca="false">I79-K79-L79</f>
        <v>233355.15</v>
      </c>
      <c r="N79" s="5" t="str">
        <f aca="false">IF(ROUND(M79,2)=0,"Paid",IF(L79&gt;0,IF(J79&lt;DATE(2026,9,30),"Partial - overdue","Partially paid"),IF(J79&lt;DATE(2026,9,30),"Overdue","Open")))</f>
        <v>Open</v>
      </c>
      <c r="O79" s="13" t="n">
        <f aca="false">IF(ROUND(M79,2)&gt;0,MAX(0,DATE(2026,9,30)-J79),0)</f>
        <v>0</v>
      </c>
    </row>
    <row r="80" customFormat="false" ht="15" hidden="false" customHeight="false" outlineLevel="0" collapsed="false">
      <c r="A80" s="5" t="s">
        <v>422</v>
      </c>
      <c r="B80" s="10" t="n">
        <v>46287</v>
      </c>
      <c r="C80" s="5" t="s">
        <v>401</v>
      </c>
      <c r="D80" s="5" t="s">
        <v>90</v>
      </c>
      <c r="E80" s="5" t="s">
        <v>91</v>
      </c>
      <c r="F80" s="5" t="s">
        <v>419</v>
      </c>
      <c r="G80" s="7" t="n">
        <v>63015</v>
      </c>
      <c r="H80" s="7" t="n">
        <v>8822.1</v>
      </c>
      <c r="I80" s="7" t="n">
        <f aca="false">G80+H80</f>
        <v>71837.1</v>
      </c>
      <c r="J80" s="10" t="n">
        <v>46302</v>
      </c>
      <c r="K80" s="7" t="n">
        <f aca="false">SUMIFS('Customer and Supplier Returns'!$S$2:$S$12,'Customer and Supplier Returns'!$G$2:$G$12,A80,'Customer and Supplier Returns'!$B$2:$B$12,"Customer return")</f>
        <v>0</v>
      </c>
      <c r="L80" s="7" t="n">
        <f aca="false">SUMIFS('Customer Invoices and Payments'!$F$91:$F$152,'Customer Invoices and Payments'!$D$91:$D$152,A80)</f>
        <v>0</v>
      </c>
      <c r="M80" s="7" t="n">
        <f aca="false">I80-K80-L80</f>
        <v>71837.1</v>
      </c>
      <c r="N80" s="5" t="str">
        <f aca="false">IF(ROUND(M80,2)=0,"Paid",IF(L80&gt;0,IF(J80&lt;DATE(2026,9,30),"Partial - overdue","Partially paid"),IF(J80&lt;DATE(2026,9,30),"Overdue","Open")))</f>
        <v>Open</v>
      </c>
      <c r="O80" s="13" t="n">
        <f aca="false">IF(ROUND(M80,2)&gt;0,MAX(0,DATE(2026,9,30)-J80),0)</f>
        <v>0</v>
      </c>
    </row>
    <row r="81" customFormat="false" ht="15" hidden="false" customHeight="false" outlineLevel="0" collapsed="false">
      <c r="A81" s="5" t="s">
        <v>425</v>
      </c>
      <c r="B81" s="10" t="n">
        <v>46288</v>
      </c>
      <c r="C81" s="5" t="s">
        <v>401</v>
      </c>
      <c r="D81" s="5" t="s">
        <v>104</v>
      </c>
      <c r="E81" s="5" t="s">
        <v>105</v>
      </c>
      <c r="F81" s="5" t="s">
        <v>423</v>
      </c>
      <c r="G81" s="7" t="n">
        <v>100467.75</v>
      </c>
      <c r="H81" s="7" t="n">
        <v>14065.49</v>
      </c>
      <c r="I81" s="7" t="n">
        <f aca="false">G81+H81</f>
        <v>114533.24</v>
      </c>
      <c r="J81" s="10" t="n">
        <v>46318</v>
      </c>
      <c r="K81" s="7" t="n">
        <f aca="false">SUMIFS('Customer and Supplier Returns'!$S$2:$S$12,'Customer and Supplier Returns'!$G$2:$G$12,A81,'Customer and Supplier Returns'!$B$2:$B$12,"Customer return")</f>
        <v>0</v>
      </c>
      <c r="L81" s="7" t="n">
        <f aca="false">SUMIFS('Customer Invoices and Payments'!$F$91:$F$152,'Customer Invoices and Payments'!$D$91:$D$152,A81)</f>
        <v>0</v>
      </c>
      <c r="M81" s="7" t="n">
        <f aca="false">I81-K81-L81</f>
        <v>114533.24</v>
      </c>
      <c r="N81" s="5" t="str">
        <f aca="false">IF(ROUND(M81,2)=0,"Paid",IF(L81&gt;0,IF(J81&lt;DATE(2026,9,30),"Partial - overdue","Partially paid"),IF(J81&lt;DATE(2026,9,30),"Overdue","Open")))</f>
        <v>Open</v>
      </c>
      <c r="O81" s="13" t="n">
        <f aca="false">IF(ROUND(M81,2)&gt;0,MAX(0,DATE(2026,9,30)-J81),0)</f>
        <v>0</v>
      </c>
    </row>
    <row r="82" customFormat="false" ht="15" hidden="false" customHeight="false" outlineLevel="0" collapsed="false">
      <c r="A82" s="5" t="s">
        <v>434</v>
      </c>
      <c r="B82" s="10" t="n">
        <v>46289</v>
      </c>
      <c r="C82" s="5" t="s">
        <v>401</v>
      </c>
      <c r="D82" s="5" t="s">
        <v>69</v>
      </c>
      <c r="E82" s="5" t="s">
        <v>70</v>
      </c>
      <c r="F82" s="5" t="s">
        <v>432</v>
      </c>
      <c r="G82" s="7" t="n">
        <v>56111</v>
      </c>
      <c r="H82" s="7" t="n">
        <v>7855.54</v>
      </c>
      <c r="I82" s="7" t="n">
        <f aca="false">G82+H82</f>
        <v>63966.54</v>
      </c>
      <c r="J82" s="10" t="n">
        <v>46304</v>
      </c>
      <c r="K82" s="7" t="n">
        <f aca="false">SUMIFS('Customer and Supplier Returns'!$S$2:$S$12,'Customer and Supplier Returns'!$G$2:$G$12,A82,'Customer and Supplier Returns'!$B$2:$B$12,"Customer return")</f>
        <v>0</v>
      </c>
      <c r="L82" s="7" t="n">
        <f aca="false">SUMIFS('Customer Invoices and Payments'!$F$91:$F$152,'Customer Invoices and Payments'!$D$91:$D$152,A82)</f>
        <v>0</v>
      </c>
      <c r="M82" s="7" t="n">
        <f aca="false">I82-K82-L82</f>
        <v>63966.54</v>
      </c>
      <c r="N82" s="5" t="str">
        <f aca="false">IF(ROUND(M82,2)=0,"Paid",IF(L82&gt;0,IF(J82&lt;DATE(2026,9,30),"Partial - overdue","Partially paid"),IF(J82&lt;DATE(2026,9,30),"Overdue","Open")))</f>
        <v>Open</v>
      </c>
      <c r="O82" s="13" t="n">
        <f aca="false">IF(ROUND(M82,2)&gt;0,MAX(0,DATE(2026,9,30)-J82),0)</f>
        <v>0</v>
      </c>
    </row>
    <row r="83" customFormat="false" ht="15" hidden="false" customHeight="false" outlineLevel="0" collapsed="false">
      <c r="A83" s="5" t="s">
        <v>431</v>
      </c>
      <c r="B83" s="10" t="n">
        <v>46292</v>
      </c>
      <c r="C83" s="5" t="s">
        <v>401</v>
      </c>
      <c r="D83" s="5" t="s">
        <v>118</v>
      </c>
      <c r="E83" s="5" t="s">
        <v>119</v>
      </c>
      <c r="F83" s="5" t="s">
        <v>429</v>
      </c>
      <c r="G83" s="7" t="n">
        <v>110020</v>
      </c>
      <c r="H83" s="7" t="n">
        <v>15402.8</v>
      </c>
      <c r="I83" s="7" t="n">
        <f aca="false">G83+H83</f>
        <v>125422.8</v>
      </c>
      <c r="J83" s="10" t="n">
        <v>46322</v>
      </c>
      <c r="K83" s="7" t="n">
        <f aca="false">SUMIFS('Customer and Supplier Returns'!$S$2:$S$12,'Customer and Supplier Returns'!$G$2:$G$12,A83,'Customer and Supplier Returns'!$B$2:$B$12,"Customer return")</f>
        <v>0</v>
      </c>
      <c r="L83" s="7" t="n">
        <f aca="false">SUMIFS('Customer Invoices and Payments'!$F$91:$F$152,'Customer Invoices and Payments'!$D$91:$D$152,A83)</f>
        <v>0</v>
      </c>
      <c r="M83" s="7" t="n">
        <f aca="false">I83-K83-L83</f>
        <v>125422.8</v>
      </c>
      <c r="N83" s="5" t="str">
        <f aca="false">IF(ROUND(M83,2)=0,"Paid",IF(L83&gt;0,IF(J83&lt;DATE(2026,9,30),"Partial - overdue","Partially paid"),IF(J83&lt;DATE(2026,9,30),"Overdue","Open")))</f>
        <v>Open</v>
      </c>
      <c r="O83" s="13" t="n">
        <f aca="false">IF(ROUND(M83,2)&gt;0,MAX(0,DATE(2026,9,30)-J83),0)</f>
        <v>0</v>
      </c>
    </row>
    <row r="84" customFormat="false" ht="15" hidden="false" customHeight="false" outlineLevel="0" collapsed="false">
      <c r="A84" s="5" t="s">
        <v>440</v>
      </c>
      <c r="B84" s="10" t="n">
        <v>46292</v>
      </c>
      <c r="C84" s="5" t="s">
        <v>401</v>
      </c>
      <c r="D84" s="5" t="s">
        <v>126</v>
      </c>
      <c r="E84" s="5" t="s">
        <v>127</v>
      </c>
      <c r="F84" s="5" t="s">
        <v>438</v>
      </c>
      <c r="G84" s="7" t="n">
        <v>3130</v>
      </c>
      <c r="H84" s="7" t="n">
        <v>438.2</v>
      </c>
      <c r="I84" s="7" t="n">
        <f aca="false">G84+H84</f>
        <v>3568.2</v>
      </c>
      <c r="J84" s="10" t="n">
        <v>46292</v>
      </c>
      <c r="K84" s="7" t="n">
        <f aca="false">SUMIFS('Customer and Supplier Returns'!$S$2:$S$12,'Customer and Supplier Returns'!$G$2:$G$12,A84,'Customer and Supplier Returns'!$B$2:$B$12,"Customer return")</f>
        <v>0</v>
      </c>
      <c r="L84" s="7" t="n">
        <f aca="false">SUMIFS('Customer Invoices and Payments'!$F$91:$F$152,'Customer Invoices and Payments'!$D$91:$D$152,A84)</f>
        <v>3568.2</v>
      </c>
      <c r="M84" s="7" t="n">
        <f aca="false">I84-K84-L84</f>
        <v>0</v>
      </c>
      <c r="N84" s="5" t="str">
        <f aca="false">IF(ROUND(M84,2)=0,"Paid",IF(L84&gt;0,IF(J84&lt;DATE(2026,9,30),"Partial - overdue","Partially paid"),IF(J84&lt;DATE(2026,9,30),"Overdue","Open")))</f>
        <v>Paid</v>
      </c>
      <c r="O84" s="13" t="n">
        <f aca="false">IF(ROUND(M84,2)&gt;0,MAX(0,DATE(2026,9,30)-J84),0)</f>
        <v>0</v>
      </c>
    </row>
    <row r="85" customFormat="false" ht="15" hidden="false" customHeight="false" outlineLevel="0" collapsed="false">
      <c r="A85" s="5" t="s">
        <v>447</v>
      </c>
      <c r="B85" s="10" t="n">
        <v>46295</v>
      </c>
      <c r="C85" s="5" t="s">
        <v>401</v>
      </c>
      <c r="D85" s="5" t="s">
        <v>83</v>
      </c>
      <c r="E85" s="5" t="s">
        <v>84</v>
      </c>
      <c r="F85" s="5" t="s">
        <v>445</v>
      </c>
      <c r="G85" s="7" t="n">
        <v>123626</v>
      </c>
      <c r="H85" s="7" t="n">
        <v>17307.64</v>
      </c>
      <c r="I85" s="7" t="n">
        <f aca="false">G85+H85</f>
        <v>140933.64</v>
      </c>
      <c r="J85" s="10" t="n">
        <v>46355</v>
      </c>
      <c r="K85" s="7" t="n">
        <f aca="false">SUMIFS('Customer and Supplier Returns'!$S$2:$S$12,'Customer and Supplier Returns'!$G$2:$G$12,A85,'Customer and Supplier Returns'!$B$2:$B$12,"Customer return")</f>
        <v>0</v>
      </c>
      <c r="L85" s="7" t="n">
        <f aca="false">SUMIFS('Customer Invoices and Payments'!$F$91:$F$152,'Customer Invoices and Payments'!$D$91:$D$152,A85)</f>
        <v>0</v>
      </c>
      <c r="M85" s="7" t="n">
        <f aca="false">I85-K85-L85</f>
        <v>140933.64</v>
      </c>
      <c r="N85" s="5" t="str">
        <f aca="false">IF(ROUND(M85,2)=0,"Paid",IF(L85&gt;0,IF(J85&lt;DATE(2026,9,30),"Partial - overdue","Partially paid"),IF(J85&lt;DATE(2026,9,30),"Overdue","Open")))</f>
        <v>Open</v>
      </c>
      <c r="O85" s="13" t="n">
        <f aca="false">IF(ROUND(M85,2)&gt;0,MAX(0,DATE(2026,9,30)-J85),0)</f>
        <v>0</v>
      </c>
    </row>
    <row r="86" customFormat="false" ht="15" hidden="false" customHeight="false" outlineLevel="0" collapsed="false">
      <c r="F86" s="14" t="s">
        <v>728</v>
      </c>
      <c r="G86" s="15" t="n">
        <f aca="false">SUM(G4:G85)</f>
        <v>31077427.94</v>
      </c>
      <c r="H86" s="15" t="n">
        <f aca="false">SUM(H4:H85)</f>
        <v>4350839.92</v>
      </c>
      <c r="I86" s="15" t="n">
        <f aca="false">SUM(I4:I85)</f>
        <v>35428267.86</v>
      </c>
      <c r="K86" s="15" t="n">
        <f aca="false">SUM(K4:K85)</f>
        <v>962383.1</v>
      </c>
      <c r="L86" s="15" t="n">
        <f aca="false">SUM(L4:L85)</f>
        <v>4933811.34</v>
      </c>
      <c r="M86" s="15" t="n">
        <f aca="false">SUM(M4:M85)</f>
        <v>29532073.42</v>
      </c>
    </row>
    <row r="88" customFormat="false" ht="15" hidden="false" customHeight="false" outlineLevel="0" collapsed="false">
      <c r="A88" s="11" t="s">
        <v>729</v>
      </c>
    </row>
    <row r="89" customFormat="false" ht="15" hidden="false" customHeight="false" outlineLevel="0" collapsed="false">
      <c r="A89" s="12" t="s">
        <v>730</v>
      </c>
    </row>
    <row r="90" customFormat="false" ht="31.5" hidden="false" customHeight="true" outlineLevel="0" collapsed="false">
      <c r="A90" s="4" t="s">
        <v>731</v>
      </c>
      <c r="B90" s="4" t="s">
        <v>732</v>
      </c>
      <c r="C90" s="4" t="s">
        <v>733</v>
      </c>
      <c r="D90" s="4" t="s">
        <v>734</v>
      </c>
      <c r="E90" s="4" t="s">
        <v>183</v>
      </c>
      <c r="F90" s="4" t="s">
        <v>735</v>
      </c>
      <c r="G90" s="4" t="s">
        <v>736</v>
      </c>
      <c r="H90" s="4" t="s">
        <v>737</v>
      </c>
      <c r="I90" s="4" t="s">
        <v>182</v>
      </c>
    </row>
    <row r="91" customFormat="false" ht="15" hidden="false" customHeight="false" outlineLevel="0" collapsed="false">
      <c r="A91" s="5" t="s">
        <v>738</v>
      </c>
      <c r="B91" s="10" t="n">
        <v>46156</v>
      </c>
      <c r="C91" s="5" t="s">
        <v>126</v>
      </c>
      <c r="D91" s="5" t="s">
        <v>204</v>
      </c>
      <c r="E91" s="5" t="s">
        <v>127</v>
      </c>
      <c r="F91" s="7" t="n">
        <v>3990</v>
      </c>
      <c r="G91" s="5" t="s">
        <v>739</v>
      </c>
      <c r="H91" s="5" t="s">
        <v>740</v>
      </c>
      <c r="I91" s="5" t="s">
        <v>189</v>
      </c>
    </row>
    <row r="92" customFormat="false" ht="15" hidden="false" customHeight="false" outlineLevel="0" collapsed="false">
      <c r="A92" s="5" t="s">
        <v>741</v>
      </c>
      <c r="B92" s="10" t="n">
        <v>46156</v>
      </c>
      <c r="C92" s="5" t="s">
        <v>126</v>
      </c>
      <c r="D92" s="5" t="s">
        <v>207</v>
      </c>
      <c r="E92" s="5" t="s">
        <v>127</v>
      </c>
      <c r="F92" s="7" t="n">
        <v>3146.4</v>
      </c>
      <c r="G92" s="5" t="s">
        <v>739</v>
      </c>
      <c r="H92" s="5" t="s">
        <v>740</v>
      </c>
      <c r="I92" s="5" t="s">
        <v>189</v>
      </c>
    </row>
    <row r="93" customFormat="false" ht="15" hidden="false" customHeight="false" outlineLevel="0" collapsed="false">
      <c r="A93" s="5" t="s">
        <v>742</v>
      </c>
      <c r="B93" s="10" t="n">
        <v>46166</v>
      </c>
      <c r="C93" s="5" t="s">
        <v>126</v>
      </c>
      <c r="D93" s="5" t="s">
        <v>216</v>
      </c>
      <c r="E93" s="5" t="s">
        <v>127</v>
      </c>
      <c r="F93" s="7" t="n">
        <v>3494.1</v>
      </c>
      <c r="G93" s="5" t="s">
        <v>739</v>
      </c>
      <c r="H93" s="5" t="s">
        <v>740</v>
      </c>
      <c r="I93" s="5" t="s">
        <v>189</v>
      </c>
    </row>
    <row r="94" customFormat="false" ht="15" hidden="false" customHeight="false" outlineLevel="0" collapsed="false">
      <c r="A94" s="5" t="s">
        <v>743</v>
      </c>
      <c r="B94" s="10" t="n">
        <v>46168</v>
      </c>
      <c r="C94" s="5" t="s">
        <v>126</v>
      </c>
      <c r="D94" s="5" t="s">
        <v>219</v>
      </c>
      <c r="E94" s="5" t="s">
        <v>127</v>
      </c>
      <c r="F94" s="7" t="n">
        <v>1048.8</v>
      </c>
      <c r="G94" s="5" t="s">
        <v>739</v>
      </c>
      <c r="H94" s="5" t="s">
        <v>740</v>
      </c>
      <c r="I94" s="5" t="s">
        <v>189</v>
      </c>
    </row>
    <row r="95" customFormat="false" ht="15" hidden="false" customHeight="false" outlineLevel="0" collapsed="false">
      <c r="A95" s="5" t="s">
        <v>744</v>
      </c>
      <c r="B95" s="10" t="n">
        <v>46181</v>
      </c>
      <c r="C95" s="5" t="s">
        <v>126</v>
      </c>
      <c r="D95" s="5" t="s">
        <v>244</v>
      </c>
      <c r="E95" s="5" t="s">
        <v>127</v>
      </c>
      <c r="F95" s="7" t="n">
        <v>3895.38</v>
      </c>
      <c r="G95" s="5" t="s">
        <v>739</v>
      </c>
      <c r="H95" s="5" t="s">
        <v>740</v>
      </c>
      <c r="I95" s="5" t="s">
        <v>239</v>
      </c>
    </row>
    <row r="96" customFormat="false" ht="15" hidden="false" customHeight="false" outlineLevel="0" collapsed="false">
      <c r="A96" s="5" t="s">
        <v>745</v>
      </c>
      <c r="B96" s="10" t="n">
        <v>46183</v>
      </c>
      <c r="C96" s="5" t="s">
        <v>38</v>
      </c>
      <c r="D96" s="5" t="s">
        <v>192</v>
      </c>
      <c r="E96" s="5" t="s">
        <v>39</v>
      </c>
      <c r="F96" s="7" t="n">
        <v>152768.48</v>
      </c>
      <c r="G96" s="5" t="s">
        <v>746</v>
      </c>
      <c r="H96" s="5" t="s">
        <v>747</v>
      </c>
      <c r="I96" s="5" t="s">
        <v>239</v>
      </c>
    </row>
    <row r="97" customFormat="false" ht="15" hidden="false" customHeight="false" outlineLevel="0" collapsed="false">
      <c r="A97" s="5" t="s">
        <v>748</v>
      </c>
      <c r="B97" s="10" t="n">
        <v>46183</v>
      </c>
      <c r="C97" s="5" t="s">
        <v>126</v>
      </c>
      <c r="D97" s="5" t="s">
        <v>253</v>
      </c>
      <c r="E97" s="5" t="s">
        <v>127</v>
      </c>
      <c r="F97" s="7" t="n">
        <v>2958.3</v>
      </c>
      <c r="G97" s="5" t="s">
        <v>739</v>
      </c>
      <c r="H97" s="5" t="s">
        <v>740</v>
      </c>
      <c r="I97" s="5" t="s">
        <v>239</v>
      </c>
    </row>
    <row r="98" customFormat="false" ht="15" hidden="false" customHeight="false" outlineLevel="0" collapsed="false">
      <c r="A98" s="5" t="s">
        <v>749</v>
      </c>
      <c r="B98" s="10" t="n">
        <v>46183</v>
      </c>
      <c r="C98" s="5" t="s">
        <v>126</v>
      </c>
      <c r="D98" s="5" t="s">
        <v>259</v>
      </c>
      <c r="E98" s="5" t="s">
        <v>127</v>
      </c>
      <c r="F98" s="7" t="n">
        <v>1835.4</v>
      </c>
      <c r="G98" s="5" t="s">
        <v>739</v>
      </c>
      <c r="H98" s="5" t="s">
        <v>740</v>
      </c>
      <c r="I98" s="5" t="s">
        <v>239</v>
      </c>
    </row>
    <row r="99" customFormat="false" ht="15" hidden="false" customHeight="false" outlineLevel="0" collapsed="false">
      <c r="A99" s="5" t="s">
        <v>750</v>
      </c>
      <c r="B99" s="10" t="n">
        <v>46194</v>
      </c>
      <c r="C99" s="5" t="s">
        <v>69</v>
      </c>
      <c r="D99" s="5" t="s">
        <v>198</v>
      </c>
      <c r="E99" s="5" t="s">
        <v>70</v>
      </c>
      <c r="F99" s="7" t="n">
        <v>135198.3</v>
      </c>
      <c r="G99" s="5" t="s">
        <v>746</v>
      </c>
      <c r="H99" s="5" t="s">
        <v>747</v>
      </c>
      <c r="I99" s="5" t="s">
        <v>239</v>
      </c>
    </row>
    <row r="100" customFormat="false" ht="15" hidden="false" customHeight="false" outlineLevel="0" collapsed="false">
      <c r="A100" s="5" t="s">
        <v>751</v>
      </c>
      <c r="B100" s="10" t="n">
        <v>46194</v>
      </c>
      <c r="C100" s="5" t="s">
        <v>90</v>
      </c>
      <c r="D100" s="5" t="s">
        <v>231</v>
      </c>
      <c r="E100" s="5" t="s">
        <v>91</v>
      </c>
      <c r="F100" s="7" t="n">
        <v>99373.8</v>
      </c>
      <c r="G100" s="5" t="s">
        <v>746</v>
      </c>
      <c r="H100" s="5" t="s">
        <v>747</v>
      </c>
      <c r="I100" s="5" t="s">
        <v>239</v>
      </c>
    </row>
    <row r="101" customFormat="false" ht="15" hidden="false" customHeight="false" outlineLevel="0" collapsed="false">
      <c r="A101" s="5" t="s">
        <v>752</v>
      </c>
      <c r="B101" s="10" t="n">
        <v>46194</v>
      </c>
      <c r="C101" s="5" t="s">
        <v>104</v>
      </c>
      <c r="D101" s="5" t="s">
        <v>213</v>
      </c>
      <c r="E101" s="5" t="s">
        <v>105</v>
      </c>
      <c r="F101" s="7" t="n">
        <v>78666.61</v>
      </c>
      <c r="G101" s="5" t="s">
        <v>753</v>
      </c>
      <c r="H101" s="5" t="s">
        <v>754</v>
      </c>
      <c r="I101" s="5" t="s">
        <v>239</v>
      </c>
    </row>
    <row r="102" customFormat="false" ht="15" hidden="false" customHeight="false" outlineLevel="0" collapsed="false">
      <c r="A102" s="5" t="s">
        <v>755</v>
      </c>
      <c r="B102" s="10" t="n">
        <v>46196</v>
      </c>
      <c r="C102" s="5" t="s">
        <v>126</v>
      </c>
      <c r="D102" s="5" t="s">
        <v>271</v>
      </c>
      <c r="E102" s="5" t="s">
        <v>127</v>
      </c>
      <c r="F102" s="7" t="n">
        <v>2884.2</v>
      </c>
      <c r="G102" s="5" t="s">
        <v>739</v>
      </c>
      <c r="H102" s="5" t="s">
        <v>740</v>
      </c>
      <c r="I102" s="5" t="s">
        <v>239</v>
      </c>
    </row>
    <row r="103" customFormat="false" ht="15" hidden="false" customHeight="false" outlineLevel="0" collapsed="false">
      <c r="A103" s="5" t="s">
        <v>756</v>
      </c>
      <c r="B103" s="10" t="n">
        <v>46205</v>
      </c>
      <c r="C103" s="5" t="s">
        <v>76</v>
      </c>
      <c r="D103" s="5" t="s">
        <v>222</v>
      </c>
      <c r="E103" s="5" t="s">
        <v>77</v>
      </c>
      <c r="F103" s="7" t="n">
        <v>97391.91</v>
      </c>
      <c r="G103" s="5" t="s">
        <v>746</v>
      </c>
      <c r="H103" s="5" t="s">
        <v>747</v>
      </c>
      <c r="I103" s="5" t="s">
        <v>288</v>
      </c>
    </row>
    <row r="104" customFormat="false" ht="15" hidden="false" customHeight="false" outlineLevel="0" collapsed="false">
      <c r="A104" s="5" t="s">
        <v>757</v>
      </c>
      <c r="B104" s="10" t="n">
        <v>46211</v>
      </c>
      <c r="C104" s="5" t="s">
        <v>90</v>
      </c>
      <c r="D104" s="5" t="s">
        <v>265</v>
      </c>
      <c r="E104" s="5" t="s">
        <v>91</v>
      </c>
      <c r="F104" s="7" t="n">
        <v>144888.3</v>
      </c>
      <c r="G104" s="5" t="s">
        <v>753</v>
      </c>
      <c r="H104" s="5" t="s">
        <v>754</v>
      </c>
      <c r="I104" s="5" t="s">
        <v>288</v>
      </c>
    </row>
    <row r="105" customFormat="false" ht="15" hidden="false" customHeight="false" outlineLevel="0" collapsed="false">
      <c r="A105" s="5" t="s">
        <v>758</v>
      </c>
      <c r="B105" s="10" t="n">
        <v>46215</v>
      </c>
      <c r="C105" s="5" t="s">
        <v>62</v>
      </c>
      <c r="D105" s="5" t="s">
        <v>237</v>
      </c>
      <c r="E105" s="5" t="s">
        <v>63</v>
      </c>
      <c r="F105" s="7" t="n">
        <v>103516.15</v>
      </c>
      <c r="G105" s="5" t="s">
        <v>753</v>
      </c>
      <c r="H105" s="5" t="s">
        <v>754</v>
      </c>
      <c r="I105" s="5" t="s">
        <v>288</v>
      </c>
    </row>
    <row r="106" customFormat="false" ht="15" hidden="false" customHeight="false" outlineLevel="0" collapsed="false">
      <c r="A106" s="5" t="s">
        <v>759</v>
      </c>
      <c r="B106" s="10" t="n">
        <v>46215</v>
      </c>
      <c r="C106" s="5" t="s">
        <v>76</v>
      </c>
      <c r="D106" s="5" t="s">
        <v>247</v>
      </c>
      <c r="E106" s="5" t="s">
        <v>77</v>
      </c>
      <c r="F106" s="7" t="n">
        <v>90063.08</v>
      </c>
      <c r="G106" s="5" t="s">
        <v>753</v>
      </c>
      <c r="H106" s="5" t="s">
        <v>754</v>
      </c>
      <c r="I106" s="5" t="s">
        <v>288</v>
      </c>
    </row>
    <row r="107" customFormat="false" ht="15" hidden="false" customHeight="false" outlineLevel="0" collapsed="false">
      <c r="A107" s="5" t="s">
        <v>760</v>
      </c>
      <c r="B107" s="10" t="n">
        <v>46215</v>
      </c>
      <c r="C107" s="5" t="s">
        <v>126</v>
      </c>
      <c r="D107" s="5" t="s">
        <v>299</v>
      </c>
      <c r="E107" s="5" t="s">
        <v>127</v>
      </c>
      <c r="F107" s="7" t="n">
        <v>4611.3</v>
      </c>
      <c r="G107" s="5" t="s">
        <v>739</v>
      </c>
      <c r="H107" s="5" t="s">
        <v>740</v>
      </c>
      <c r="I107" s="5" t="s">
        <v>288</v>
      </c>
    </row>
    <row r="108" customFormat="false" ht="15" hidden="false" customHeight="false" outlineLevel="0" collapsed="false">
      <c r="A108" s="5" t="s">
        <v>761</v>
      </c>
      <c r="B108" s="10" t="n">
        <v>46215</v>
      </c>
      <c r="C108" s="5" t="s">
        <v>126</v>
      </c>
      <c r="D108" s="5" t="s">
        <v>302</v>
      </c>
      <c r="E108" s="5" t="s">
        <v>127</v>
      </c>
      <c r="F108" s="7" t="n">
        <v>1778.4</v>
      </c>
      <c r="G108" s="5" t="s">
        <v>739</v>
      </c>
      <c r="H108" s="5" t="s">
        <v>740</v>
      </c>
      <c r="I108" s="5" t="s">
        <v>288</v>
      </c>
    </row>
    <row r="109" customFormat="false" ht="15" hidden="false" customHeight="false" outlineLevel="0" collapsed="false">
      <c r="A109" s="5" t="s">
        <v>762</v>
      </c>
      <c r="B109" s="10" t="n">
        <v>46216</v>
      </c>
      <c r="C109" s="5" t="s">
        <v>126</v>
      </c>
      <c r="D109" s="5" t="s">
        <v>308</v>
      </c>
      <c r="E109" s="5" t="s">
        <v>127</v>
      </c>
      <c r="F109" s="7" t="n">
        <v>3317.4</v>
      </c>
      <c r="G109" s="5" t="s">
        <v>739</v>
      </c>
      <c r="H109" s="5" t="s">
        <v>740</v>
      </c>
      <c r="I109" s="5" t="s">
        <v>288</v>
      </c>
    </row>
    <row r="110" customFormat="false" ht="15" hidden="false" customHeight="false" outlineLevel="0" collapsed="false">
      <c r="A110" s="5" t="s">
        <v>763</v>
      </c>
      <c r="B110" s="10" t="n">
        <v>46217</v>
      </c>
      <c r="C110" s="5" t="s">
        <v>55</v>
      </c>
      <c r="D110" s="5" t="s">
        <v>195</v>
      </c>
      <c r="E110" s="5" t="s">
        <v>56</v>
      </c>
      <c r="F110" s="7" t="n">
        <v>253380.96</v>
      </c>
      <c r="G110" s="5" t="s">
        <v>746</v>
      </c>
      <c r="H110" s="5" t="s">
        <v>747</v>
      </c>
      <c r="I110" s="5" t="s">
        <v>288</v>
      </c>
    </row>
    <row r="111" customFormat="false" ht="15" hidden="false" customHeight="false" outlineLevel="0" collapsed="false">
      <c r="A111" s="5" t="s">
        <v>764</v>
      </c>
      <c r="B111" s="10" t="n">
        <v>46217</v>
      </c>
      <c r="C111" s="5" t="s">
        <v>104</v>
      </c>
      <c r="D111" s="5" t="s">
        <v>256</v>
      </c>
      <c r="E111" s="5" t="s">
        <v>105</v>
      </c>
      <c r="F111" s="7" t="n">
        <v>118541.76</v>
      </c>
      <c r="G111" s="5" t="s">
        <v>753</v>
      </c>
      <c r="H111" s="5" t="s">
        <v>754</v>
      </c>
      <c r="I111" s="5" t="s">
        <v>288</v>
      </c>
    </row>
    <row r="112" customFormat="false" ht="15" hidden="false" customHeight="false" outlineLevel="0" collapsed="false">
      <c r="A112" s="5" t="s">
        <v>765</v>
      </c>
      <c r="B112" s="10" t="n">
        <v>46217</v>
      </c>
      <c r="C112" s="5" t="s">
        <v>118</v>
      </c>
      <c r="D112" s="5" t="s">
        <v>225</v>
      </c>
      <c r="E112" s="5" t="s">
        <v>119</v>
      </c>
      <c r="F112" s="7" t="n">
        <v>147408.84</v>
      </c>
      <c r="G112" s="5" t="s">
        <v>746</v>
      </c>
      <c r="H112" s="5" t="s">
        <v>747</v>
      </c>
      <c r="I112" s="5" t="s">
        <v>288</v>
      </c>
    </row>
    <row r="113" customFormat="false" ht="15" hidden="false" customHeight="false" outlineLevel="0" collapsed="false">
      <c r="A113" s="5" t="s">
        <v>766</v>
      </c>
      <c r="B113" s="10" t="n">
        <v>46219</v>
      </c>
      <c r="C113" s="5" t="s">
        <v>69</v>
      </c>
      <c r="D113" s="5" t="s">
        <v>274</v>
      </c>
      <c r="E113" s="5" t="s">
        <v>70</v>
      </c>
      <c r="F113" s="7" t="n">
        <v>52896</v>
      </c>
      <c r="G113" s="5" t="s">
        <v>753</v>
      </c>
      <c r="H113" s="5" t="s">
        <v>754</v>
      </c>
      <c r="I113" s="5" t="s">
        <v>288</v>
      </c>
    </row>
    <row r="114" customFormat="false" ht="15" hidden="false" customHeight="false" outlineLevel="0" collapsed="false">
      <c r="A114" s="5" t="s">
        <v>767</v>
      </c>
      <c r="B114" s="10" t="n">
        <v>46229</v>
      </c>
      <c r="C114" s="5" t="s">
        <v>126</v>
      </c>
      <c r="D114" s="5" t="s">
        <v>329</v>
      </c>
      <c r="E114" s="5" t="s">
        <v>127</v>
      </c>
      <c r="F114" s="7" t="n">
        <v>6008.94</v>
      </c>
      <c r="G114" s="5" t="s">
        <v>739</v>
      </c>
      <c r="H114" s="5" t="s">
        <v>740</v>
      </c>
      <c r="I114" s="5" t="s">
        <v>288</v>
      </c>
    </row>
    <row r="115" customFormat="false" ht="15" hidden="false" customHeight="false" outlineLevel="0" collapsed="false">
      <c r="A115" s="5" t="s">
        <v>768</v>
      </c>
      <c r="B115" s="10" t="n">
        <v>46236</v>
      </c>
      <c r="C115" s="5" t="s">
        <v>69</v>
      </c>
      <c r="D115" s="5" t="s">
        <v>305</v>
      </c>
      <c r="E115" s="5" t="s">
        <v>70</v>
      </c>
      <c r="F115" s="7" t="n">
        <v>181602</v>
      </c>
      <c r="G115" s="5" t="s">
        <v>753</v>
      </c>
      <c r="H115" s="5" t="s">
        <v>754</v>
      </c>
      <c r="I115" s="5" t="s">
        <v>346</v>
      </c>
    </row>
    <row r="116" customFormat="false" ht="15" hidden="false" customHeight="false" outlineLevel="0" collapsed="false">
      <c r="A116" s="5" t="s">
        <v>769</v>
      </c>
      <c r="B116" s="10" t="n">
        <v>46236</v>
      </c>
      <c r="C116" s="5" t="s">
        <v>90</v>
      </c>
      <c r="D116" s="5" t="s">
        <v>311</v>
      </c>
      <c r="E116" s="5" t="s">
        <v>91</v>
      </c>
      <c r="F116" s="7" t="n">
        <v>83111.7</v>
      </c>
      <c r="G116" s="5" t="s">
        <v>753</v>
      </c>
      <c r="H116" s="5" t="s">
        <v>754</v>
      </c>
      <c r="I116" s="5" t="s">
        <v>346</v>
      </c>
    </row>
    <row r="117" customFormat="false" ht="15" hidden="false" customHeight="false" outlineLevel="0" collapsed="false">
      <c r="A117" s="5" t="s">
        <v>770</v>
      </c>
      <c r="B117" s="10" t="n">
        <v>46236</v>
      </c>
      <c r="C117" s="5" t="s">
        <v>126</v>
      </c>
      <c r="D117" s="5" t="s">
        <v>338</v>
      </c>
      <c r="E117" s="5" t="s">
        <v>127</v>
      </c>
      <c r="F117" s="7" t="n">
        <v>1917.48</v>
      </c>
      <c r="G117" s="5" t="s">
        <v>739</v>
      </c>
      <c r="H117" s="5" t="s">
        <v>740</v>
      </c>
      <c r="I117" s="5" t="s">
        <v>346</v>
      </c>
    </row>
    <row r="118" customFormat="false" ht="15" hidden="false" customHeight="false" outlineLevel="0" collapsed="false">
      <c r="A118" s="5" t="s">
        <v>771</v>
      </c>
      <c r="B118" s="10" t="n">
        <v>46236</v>
      </c>
      <c r="C118" s="5" t="s">
        <v>126</v>
      </c>
      <c r="D118" s="5" t="s">
        <v>341</v>
      </c>
      <c r="E118" s="5" t="s">
        <v>127</v>
      </c>
      <c r="F118" s="7" t="n">
        <v>3939.84</v>
      </c>
      <c r="G118" s="5" t="s">
        <v>739</v>
      </c>
      <c r="H118" s="5" t="s">
        <v>740</v>
      </c>
      <c r="I118" s="5" t="s">
        <v>346</v>
      </c>
    </row>
    <row r="119" customFormat="false" ht="15" hidden="false" customHeight="false" outlineLevel="0" collapsed="false">
      <c r="A119" s="5" t="s">
        <v>772</v>
      </c>
      <c r="B119" s="10" t="n">
        <v>46238</v>
      </c>
      <c r="C119" s="5" t="s">
        <v>38</v>
      </c>
      <c r="D119" s="5" t="s">
        <v>283</v>
      </c>
      <c r="E119" s="5" t="s">
        <v>39</v>
      </c>
      <c r="F119" s="7" t="n">
        <v>61172.86</v>
      </c>
      <c r="G119" s="5" t="s">
        <v>753</v>
      </c>
      <c r="H119" s="5" t="s">
        <v>754</v>
      </c>
      <c r="I119" s="5" t="s">
        <v>346</v>
      </c>
    </row>
    <row r="120" customFormat="false" ht="15" hidden="false" customHeight="false" outlineLevel="0" collapsed="false">
      <c r="A120" s="5" t="s">
        <v>773</v>
      </c>
      <c r="B120" s="10" t="n">
        <v>46238</v>
      </c>
      <c r="C120" s="5" t="s">
        <v>62</v>
      </c>
      <c r="D120" s="5" t="s">
        <v>277</v>
      </c>
      <c r="E120" s="5" t="s">
        <v>63</v>
      </c>
      <c r="F120" s="7" t="n">
        <v>317806.92</v>
      </c>
      <c r="G120" s="5" t="s">
        <v>753</v>
      </c>
      <c r="H120" s="5" t="s">
        <v>754</v>
      </c>
      <c r="I120" s="5" t="s">
        <v>346</v>
      </c>
    </row>
    <row r="121" customFormat="false" ht="15" hidden="false" customHeight="false" outlineLevel="0" collapsed="false">
      <c r="A121" s="5" t="s">
        <v>774</v>
      </c>
      <c r="B121" s="10" t="n">
        <v>46243</v>
      </c>
      <c r="C121" s="5" t="s">
        <v>126</v>
      </c>
      <c r="D121" s="5" t="s">
        <v>348</v>
      </c>
      <c r="E121" s="5" t="s">
        <v>127</v>
      </c>
      <c r="F121" s="7" t="n">
        <v>4924.8</v>
      </c>
      <c r="G121" s="5" t="s">
        <v>739</v>
      </c>
      <c r="H121" s="5" t="s">
        <v>740</v>
      </c>
      <c r="I121" s="5" t="s">
        <v>346</v>
      </c>
    </row>
    <row r="122" customFormat="false" ht="15" hidden="false" customHeight="false" outlineLevel="0" collapsed="false">
      <c r="A122" s="5" t="s">
        <v>775</v>
      </c>
      <c r="B122" s="10" t="n">
        <v>46244</v>
      </c>
      <c r="C122" s="5" t="s">
        <v>47</v>
      </c>
      <c r="D122" s="5" t="s">
        <v>201</v>
      </c>
      <c r="E122" s="5" t="s">
        <v>48</v>
      </c>
      <c r="F122" s="7" t="n">
        <v>82857.59</v>
      </c>
      <c r="G122" s="5" t="s">
        <v>746</v>
      </c>
      <c r="H122" s="5" t="s">
        <v>747</v>
      </c>
      <c r="I122" s="5" t="s">
        <v>346</v>
      </c>
    </row>
    <row r="123" customFormat="false" ht="15" hidden="false" customHeight="false" outlineLevel="0" collapsed="false">
      <c r="A123" s="5" t="s">
        <v>776</v>
      </c>
      <c r="B123" s="10" t="n">
        <v>46246</v>
      </c>
      <c r="C123" s="5" t="s">
        <v>126</v>
      </c>
      <c r="D123" s="5" t="s">
        <v>363</v>
      </c>
      <c r="E123" s="5" t="s">
        <v>127</v>
      </c>
      <c r="F123" s="7" t="n">
        <v>3767.7</v>
      </c>
      <c r="G123" s="5" t="s">
        <v>739</v>
      </c>
      <c r="H123" s="5" t="s">
        <v>740</v>
      </c>
      <c r="I123" s="5" t="s">
        <v>346</v>
      </c>
    </row>
    <row r="124" customFormat="false" ht="15" hidden="false" customHeight="false" outlineLevel="0" collapsed="false">
      <c r="A124" s="5" t="s">
        <v>777</v>
      </c>
      <c r="B124" s="10" t="n">
        <v>46247</v>
      </c>
      <c r="C124" s="5" t="s">
        <v>126</v>
      </c>
      <c r="D124" s="5" t="s">
        <v>366</v>
      </c>
      <c r="E124" s="5" t="s">
        <v>127</v>
      </c>
      <c r="F124" s="7" t="n">
        <v>2553.6</v>
      </c>
      <c r="G124" s="5" t="s">
        <v>739</v>
      </c>
      <c r="H124" s="5" t="s">
        <v>740</v>
      </c>
      <c r="I124" s="5" t="s">
        <v>346</v>
      </c>
    </row>
    <row r="125" customFormat="false" ht="15" hidden="false" customHeight="false" outlineLevel="0" collapsed="false">
      <c r="A125" s="5" t="s">
        <v>778</v>
      </c>
      <c r="B125" s="10" t="n">
        <v>46250</v>
      </c>
      <c r="C125" s="5" t="s">
        <v>62</v>
      </c>
      <c r="D125" s="5" t="s">
        <v>314</v>
      </c>
      <c r="E125" s="5" t="s">
        <v>63</v>
      </c>
      <c r="F125" s="7" t="n">
        <v>188544.43</v>
      </c>
      <c r="G125" s="5" t="s">
        <v>753</v>
      </c>
      <c r="H125" s="5" t="s">
        <v>754</v>
      </c>
      <c r="I125" s="5" t="s">
        <v>346</v>
      </c>
    </row>
    <row r="126" customFormat="false" ht="15" hidden="false" customHeight="false" outlineLevel="0" collapsed="false">
      <c r="A126" s="5" t="s">
        <v>779</v>
      </c>
      <c r="B126" s="10" t="n">
        <v>46250</v>
      </c>
      <c r="C126" s="5" t="s">
        <v>76</v>
      </c>
      <c r="D126" s="5" t="s">
        <v>323</v>
      </c>
      <c r="E126" s="5" t="s">
        <v>77</v>
      </c>
      <c r="F126" s="7" t="n">
        <v>92431.54</v>
      </c>
      <c r="G126" s="5" t="s">
        <v>746</v>
      </c>
      <c r="H126" s="5" t="s">
        <v>747</v>
      </c>
      <c r="I126" s="5" t="s">
        <v>346</v>
      </c>
    </row>
    <row r="127" customFormat="false" ht="15" hidden="false" customHeight="false" outlineLevel="0" collapsed="false">
      <c r="A127" s="5" t="s">
        <v>780</v>
      </c>
      <c r="B127" s="10" t="n">
        <v>46254</v>
      </c>
      <c r="C127" s="5" t="s">
        <v>126</v>
      </c>
      <c r="D127" s="5" t="s">
        <v>378</v>
      </c>
      <c r="E127" s="5" t="s">
        <v>127</v>
      </c>
      <c r="F127" s="7" t="n">
        <v>5114.04</v>
      </c>
      <c r="G127" s="5" t="s">
        <v>739</v>
      </c>
      <c r="H127" s="5" t="s">
        <v>740</v>
      </c>
      <c r="I127" s="5" t="s">
        <v>346</v>
      </c>
    </row>
    <row r="128" customFormat="false" ht="15" hidden="false" customHeight="false" outlineLevel="0" collapsed="false">
      <c r="A128" s="5" t="s">
        <v>781</v>
      </c>
      <c r="B128" s="10" t="n">
        <v>46257</v>
      </c>
      <c r="C128" s="5" t="s">
        <v>38</v>
      </c>
      <c r="D128" s="5" t="s">
        <v>320</v>
      </c>
      <c r="E128" s="5" t="s">
        <v>39</v>
      </c>
      <c r="F128" s="7" t="n">
        <v>343461.48</v>
      </c>
      <c r="G128" s="5" t="s">
        <v>746</v>
      </c>
      <c r="H128" s="5" t="s">
        <v>747</v>
      </c>
      <c r="I128" s="5" t="s">
        <v>346</v>
      </c>
    </row>
    <row r="129" customFormat="false" ht="15" hidden="false" customHeight="false" outlineLevel="0" collapsed="false">
      <c r="A129" s="5" t="s">
        <v>782</v>
      </c>
      <c r="B129" s="10" t="n">
        <v>46257</v>
      </c>
      <c r="C129" s="5" t="s">
        <v>47</v>
      </c>
      <c r="D129" s="5" t="s">
        <v>250</v>
      </c>
      <c r="E129" s="5" t="s">
        <v>48</v>
      </c>
      <c r="F129" s="7" t="n">
        <v>103055.03</v>
      </c>
      <c r="G129" s="5" t="s">
        <v>746</v>
      </c>
      <c r="H129" s="5" t="s">
        <v>747</v>
      </c>
      <c r="I129" s="5" t="s">
        <v>346</v>
      </c>
    </row>
    <row r="130" customFormat="false" ht="15" hidden="false" customHeight="false" outlineLevel="0" collapsed="false">
      <c r="A130" s="5" t="s">
        <v>783</v>
      </c>
      <c r="B130" s="10" t="n">
        <v>46258</v>
      </c>
      <c r="C130" s="5" t="s">
        <v>38</v>
      </c>
      <c r="D130" s="5" t="s">
        <v>326</v>
      </c>
      <c r="E130" s="5" t="s">
        <v>39</v>
      </c>
      <c r="F130" s="7" t="n">
        <v>91377.78</v>
      </c>
      <c r="G130" s="5" t="s">
        <v>746</v>
      </c>
      <c r="H130" s="5" t="s">
        <v>747</v>
      </c>
      <c r="I130" s="5" t="s">
        <v>346</v>
      </c>
    </row>
    <row r="131" customFormat="false" ht="15" hidden="false" customHeight="false" outlineLevel="0" collapsed="false">
      <c r="A131" s="5" t="s">
        <v>784</v>
      </c>
      <c r="B131" s="10" t="n">
        <v>46258</v>
      </c>
      <c r="C131" s="5" t="s">
        <v>118</v>
      </c>
      <c r="D131" s="5" t="s">
        <v>262</v>
      </c>
      <c r="E131" s="5" t="s">
        <v>119</v>
      </c>
      <c r="F131" s="7" t="n">
        <v>30780</v>
      </c>
      <c r="G131" s="5" t="s">
        <v>746</v>
      </c>
      <c r="H131" s="5" t="s">
        <v>747</v>
      </c>
      <c r="I131" s="5" t="s">
        <v>346</v>
      </c>
    </row>
    <row r="132" customFormat="false" ht="15" hidden="false" customHeight="false" outlineLevel="0" collapsed="false">
      <c r="A132" s="5" t="s">
        <v>785</v>
      </c>
      <c r="B132" s="10" t="n">
        <v>46258</v>
      </c>
      <c r="C132" s="5" t="s">
        <v>126</v>
      </c>
      <c r="D132" s="5" t="s">
        <v>384</v>
      </c>
      <c r="E132" s="5" t="s">
        <v>127</v>
      </c>
      <c r="F132" s="7" t="n">
        <v>2359.8</v>
      </c>
      <c r="G132" s="5" t="s">
        <v>739</v>
      </c>
      <c r="H132" s="5" t="s">
        <v>740</v>
      </c>
      <c r="I132" s="5" t="s">
        <v>346</v>
      </c>
    </row>
    <row r="133" customFormat="false" ht="15" hidden="false" customHeight="false" outlineLevel="0" collapsed="false">
      <c r="A133" s="5" t="s">
        <v>786</v>
      </c>
      <c r="B133" s="10" t="n">
        <v>46264</v>
      </c>
      <c r="C133" s="5" t="s">
        <v>104</v>
      </c>
      <c r="D133" s="5" t="s">
        <v>335</v>
      </c>
      <c r="E133" s="5" t="s">
        <v>105</v>
      </c>
      <c r="F133" s="7" t="n">
        <v>258051.7</v>
      </c>
      <c r="G133" s="5" t="s">
        <v>746</v>
      </c>
      <c r="H133" s="5" t="s">
        <v>747</v>
      </c>
      <c r="I133" s="5" t="s">
        <v>346</v>
      </c>
    </row>
    <row r="134" customFormat="false" ht="15" hidden="false" customHeight="false" outlineLevel="0" collapsed="false">
      <c r="A134" s="5" t="s">
        <v>787</v>
      </c>
      <c r="B134" s="10" t="n">
        <v>46267</v>
      </c>
      <c r="C134" s="5" t="s">
        <v>111</v>
      </c>
      <c r="D134" s="5" t="s">
        <v>241</v>
      </c>
      <c r="E134" s="5" t="s">
        <v>112</v>
      </c>
      <c r="F134" s="7" t="n">
        <v>150822</v>
      </c>
      <c r="G134" s="5" t="s">
        <v>753</v>
      </c>
      <c r="H134" s="5" t="s">
        <v>747</v>
      </c>
      <c r="I134" s="5" t="s">
        <v>401</v>
      </c>
    </row>
    <row r="135" customFormat="false" ht="15" hidden="false" customHeight="false" outlineLevel="0" collapsed="false">
      <c r="A135" s="5" t="s">
        <v>788</v>
      </c>
      <c r="B135" s="10" t="n">
        <v>46268</v>
      </c>
      <c r="C135" s="5" t="s">
        <v>69</v>
      </c>
      <c r="D135" s="5" t="s">
        <v>369</v>
      </c>
      <c r="E135" s="5" t="s">
        <v>70</v>
      </c>
      <c r="F135" s="7" t="n">
        <v>98724</v>
      </c>
      <c r="G135" s="5" t="s">
        <v>753</v>
      </c>
      <c r="H135" s="5" t="s">
        <v>754</v>
      </c>
      <c r="I135" s="5" t="s">
        <v>401</v>
      </c>
    </row>
    <row r="136" customFormat="false" ht="15" hidden="false" customHeight="false" outlineLevel="0" collapsed="false">
      <c r="A136" s="5" t="s">
        <v>789</v>
      </c>
      <c r="B136" s="10" t="n">
        <v>46271</v>
      </c>
      <c r="C136" s="5" t="s">
        <v>76</v>
      </c>
      <c r="D136" s="5" t="s">
        <v>354</v>
      </c>
      <c r="E136" s="5" t="s">
        <v>77</v>
      </c>
      <c r="F136" s="7" t="n">
        <v>127567.48</v>
      </c>
      <c r="G136" s="5" t="s">
        <v>746</v>
      </c>
      <c r="H136" s="5" t="s">
        <v>747</v>
      </c>
      <c r="I136" s="5" t="s">
        <v>401</v>
      </c>
    </row>
    <row r="137" customFormat="false" ht="15" hidden="false" customHeight="false" outlineLevel="0" collapsed="false">
      <c r="A137" s="5" t="s">
        <v>790</v>
      </c>
      <c r="B137" s="10" t="n">
        <v>46271</v>
      </c>
      <c r="C137" s="5" t="s">
        <v>83</v>
      </c>
      <c r="D137" s="5" t="s">
        <v>228</v>
      </c>
      <c r="E137" s="5" t="s">
        <v>84</v>
      </c>
      <c r="F137" s="7" t="n">
        <v>38110.2</v>
      </c>
      <c r="G137" s="5" t="s">
        <v>746</v>
      </c>
      <c r="H137" s="5" t="s">
        <v>747</v>
      </c>
      <c r="I137" s="5" t="s">
        <v>401</v>
      </c>
    </row>
    <row r="138" customFormat="false" ht="15" hidden="false" customHeight="false" outlineLevel="0" collapsed="false">
      <c r="A138" s="5" t="s">
        <v>791</v>
      </c>
      <c r="B138" s="10" t="n">
        <v>46271</v>
      </c>
      <c r="C138" s="5" t="s">
        <v>111</v>
      </c>
      <c r="D138" s="5" t="s">
        <v>234</v>
      </c>
      <c r="E138" s="5" t="s">
        <v>112</v>
      </c>
      <c r="F138" s="7" t="n">
        <v>38610</v>
      </c>
      <c r="G138" s="5" t="s">
        <v>753</v>
      </c>
      <c r="H138" s="5" t="s">
        <v>747</v>
      </c>
      <c r="I138" s="5" t="s">
        <v>401</v>
      </c>
    </row>
    <row r="139" customFormat="false" ht="15" hidden="false" customHeight="false" outlineLevel="0" collapsed="false">
      <c r="A139" s="5" t="s">
        <v>792</v>
      </c>
      <c r="B139" s="10" t="n">
        <v>46274</v>
      </c>
      <c r="C139" s="5" t="s">
        <v>126</v>
      </c>
      <c r="D139" s="5" t="s">
        <v>406</v>
      </c>
      <c r="E139" s="5" t="s">
        <v>127</v>
      </c>
      <c r="F139" s="7" t="n">
        <v>991.8</v>
      </c>
      <c r="G139" s="5" t="s">
        <v>739</v>
      </c>
      <c r="H139" s="5" t="s">
        <v>740</v>
      </c>
      <c r="I139" s="5" t="s">
        <v>401</v>
      </c>
    </row>
    <row r="140" customFormat="false" ht="15" hidden="false" customHeight="false" outlineLevel="0" collapsed="false">
      <c r="A140" s="5" t="s">
        <v>793</v>
      </c>
      <c r="B140" s="10" t="n">
        <v>46275</v>
      </c>
      <c r="C140" s="5" t="s">
        <v>126</v>
      </c>
      <c r="D140" s="5" t="s">
        <v>409</v>
      </c>
      <c r="E140" s="5" t="s">
        <v>127</v>
      </c>
      <c r="F140" s="7" t="n">
        <v>2622</v>
      </c>
      <c r="G140" s="5" t="s">
        <v>739</v>
      </c>
      <c r="H140" s="5" t="s">
        <v>740</v>
      </c>
      <c r="I140" s="5" t="s">
        <v>401</v>
      </c>
    </row>
    <row r="141" customFormat="false" ht="15" hidden="false" customHeight="false" outlineLevel="0" collapsed="false">
      <c r="A141" s="5" t="s">
        <v>794</v>
      </c>
      <c r="B141" s="10" t="n">
        <v>46278</v>
      </c>
      <c r="C141" s="5" t="s">
        <v>90</v>
      </c>
      <c r="D141" s="5" t="s">
        <v>390</v>
      </c>
      <c r="E141" s="5" t="s">
        <v>91</v>
      </c>
      <c r="F141" s="7" t="n">
        <v>156077.4</v>
      </c>
      <c r="G141" s="5" t="s">
        <v>746</v>
      </c>
      <c r="H141" s="5" t="s">
        <v>747</v>
      </c>
      <c r="I141" s="5" t="s">
        <v>401</v>
      </c>
    </row>
    <row r="142" customFormat="false" ht="15" hidden="false" customHeight="false" outlineLevel="0" collapsed="false">
      <c r="A142" s="5" t="s">
        <v>795</v>
      </c>
      <c r="B142" s="10" t="n">
        <v>46279</v>
      </c>
      <c r="C142" s="5" t="s">
        <v>55</v>
      </c>
      <c r="D142" s="5" t="s">
        <v>296</v>
      </c>
      <c r="E142" s="5" t="s">
        <v>56</v>
      </c>
      <c r="F142" s="7" t="n">
        <v>93029.24</v>
      </c>
      <c r="G142" s="5" t="s">
        <v>746</v>
      </c>
      <c r="H142" s="5" t="s">
        <v>747</v>
      </c>
      <c r="I142" s="5" t="s">
        <v>401</v>
      </c>
    </row>
    <row r="143" customFormat="false" ht="15" hidden="false" customHeight="false" outlineLevel="0" collapsed="false">
      <c r="A143" s="5" t="s">
        <v>796</v>
      </c>
      <c r="B143" s="10" t="n">
        <v>46280</v>
      </c>
      <c r="C143" s="5" t="s">
        <v>55</v>
      </c>
      <c r="D143" s="5" t="s">
        <v>268</v>
      </c>
      <c r="E143" s="5" t="s">
        <v>56</v>
      </c>
      <c r="F143" s="7" t="n">
        <v>131047.56</v>
      </c>
      <c r="G143" s="5" t="s">
        <v>753</v>
      </c>
      <c r="H143" s="5" t="s">
        <v>747</v>
      </c>
      <c r="I143" s="5" t="s">
        <v>401</v>
      </c>
    </row>
    <row r="144" customFormat="false" ht="15" hidden="false" customHeight="false" outlineLevel="0" collapsed="false">
      <c r="A144" s="5" t="s">
        <v>797</v>
      </c>
      <c r="B144" s="10" t="n">
        <v>46280</v>
      </c>
      <c r="C144" s="5" t="s">
        <v>126</v>
      </c>
      <c r="D144" s="5" t="s">
        <v>415</v>
      </c>
      <c r="E144" s="5" t="s">
        <v>127</v>
      </c>
      <c r="F144" s="7" t="n">
        <v>4805.1</v>
      </c>
      <c r="G144" s="5" t="s">
        <v>739</v>
      </c>
      <c r="H144" s="5" t="s">
        <v>740</v>
      </c>
      <c r="I144" s="5" t="s">
        <v>401</v>
      </c>
    </row>
    <row r="145" customFormat="false" ht="15" hidden="false" customHeight="false" outlineLevel="0" collapsed="false">
      <c r="A145" s="5" t="s">
        <v>798</v>
      </c>
      <c r="B145" s="10" t="n">
        <v>46281</v>
      </c>
      <c r="C145" s="5" t="s">
        <v>83</v>
      </c>
      <c r="D145" s="5" t="s">
        <v>280</v>
      </c>
      <c r="E145" s="5" t="s">
        <v>84</v>
      </c>
      <c r="F145" s="7" t="n">
        <v>41165.4</v>
      </c>
      <c r="G145" s="5" t="s">
        <v>753</v>
      </c>
      <c r="H145" s="5" t="s">
        <v>747</v>
      </c>
      <c r="I145" s="5" t="s">
        <v>401</v>
      </c>
    </row>
    <row r="146" customFormat="false" ht="15" hidden="false" customHeight="false" outlineLevel="0" collapsed="false">
      <c r="A146" s="5" t="s">
        <v>799</v>
      </c>
      <c r="B146" s="10" t="n">
        <v>46281</v>
      </c>
      <c r="C146" s="5" t="s">
        <v>126</v>
      </c>
      <c r="D146" s="5" t="s">
        <v>418</v>
      </c>
      <c r="E146" s="5" t="s">
        <v>127</v>
      </c>
      <c r="F146" s="7" t="n">
        <v>2154.6</v>
      </c>
      <c r="G146" s="5" t="s">
        <v>739</v>
      </c>
      <c r="H146" s="5" t="s">
        <v>740</v>
      </c>
      <c r="I146" s="5" t="s">
        <v>401</v>
      </c>
    </row>
    <row r="147" customFormat="false" ht="15" hidden="false" customHeight="false" outlineLevel="0" collapsed="false">
      <c r="A147" s="5" t="s">
        <v>800</v>
      </c>
      <c r="B147" s="10" t="n">
        <v>46282</v>
      </c>
      <c r="C147" s="5" t="s">
        <v>118</v>
      </c>
      <c r="D147" s="5" t="s">
        <v>293</v>
      </c>
      <c r="E147" s="5" t="s">
        <v>119</v>
      </c>
      <c r="F147" s="7" t="n">
        <v>197858.4</v>
      </c>
      <c r="G147" s="5" t="s">
        <v>753</v>
      </c>
      <c r="H147" s="5" t="s">
        <v>747</v>
      </c>
      <c r="I147" s="5" t="s">
        <v>401</v>
      </c>
    </row>
    <row r="148" customFormat="false" ht="15" hidden="false" customHeight="false" outlineLevel="0" collapsed="false">
      <c r="A148" s="5" t="s">
        <v>801</v>
      </c>
      <c r="B148" s="10" t="n">
        <v>46285</v>
      </c>
      <c r="C148" s="5" t="s">
        <v>104</v>
      </c>
      <c r="D148" s="5" t="s">
        <v>381</v>
      </c>
      <c r="E148" s="5" t="s">
        <v>105</v>
      </c>
      <c r="F148" s="7" t="n">
        <v>95618.53</v>
      </c>
      <c r="G148" s="5" t="s">
        <v>753</v>
      </c>
      <c r="H148" s="5" t="s">
        <v>754</v>
      </c>
      <c r="I148" s="5" t="s">
        <v>401</v>
      </c>
    </row>
    <row r="149" customFormat="false" ht="15" hidden="false" customHeight="false" outlineLevel="0" collapsed="false">
      <c r="A149" s="5" t="s">
        <v>802</v>
      </c>
      <c r="B149" s="10" t="n">
        <v>46289</v>
      </c>
      <c r="C149" s="5" t="s">
        <v>38</v>
      </c>
      <c r="D149" s="5" t="s">
        <v>387</v>
      </c>
      <c r="E149" s="5" t="s">
        <v>39</v>
      </c>
      <c r="F149" s="7" t="n">
        <v>175269.3</v>
      </c>
      <c r="G149" s="5" t="s">
        <v>753</v>
      </c>
      <c r="H149" s="5" t="s">
        <v>754</v>
      </c>
      <c r="I149" s="5" t="s">
        <v>401</v>
      </c>
    </row>
    <row r="150" customFormat="false" ht="15" hidden="false" customHeight="false" outlineLevel="0" collapsed="false">
      <c r="A150" s="5" t="s">
        <v>803</v>
      </c>
      <c r="B150" s="10" t="n">
        <v>46292</v>
      </c>
      <c r="C150" s="5" t="s">
        <v>97</v>
      </c>
      <c r="D150" s="5" t="s">
        <v>210</v>
      </c>
      <c r="E150" s="5" t="s">
        <v>98</v>
      </c>
      <c r="F150" s="7" t="n">
        <v>103329.03</v>
      </c>
      <c r="G150" s="5" t="s">
        <v>746</v>
      </c>
      <c r="H150" s="5" t="s">
        <v>747</v>
      </c>
      <c r="I150" s="5" t="s">
        <v>401</v>
      </c>
    </row>
    <row r="151" customFormat="false" ht="15" hidden="false" customHeight="false" outlineLevel="0" collapsed="false">
      <c r="A151" s="5" t="s">
        <v>804</v>
      </c>
      <c r="B151" s="10" t="n">
        <v>46292</v>
      </c>
      <c r="C151" s="5" t="s">
        <v>126</v>
      </c>
      <c r="D151" s="5" t="s">
        <v>440</v>
      </c>
      <c r="E151" s="5" t="s">
        <v>127</v>
      </c>
      <c r="F151" s="7" t="n">
        <v>3568.2</v>
      </c>
      <c r="G151" s="5" t="s">
        <v>739</v>
      </c>
      <c r="H151" s="5" t="s">
        <v>740</v>
      </c>
      <c r="I151" s="5" t="s">
        <v>401</v>
      </c>
    </row>
    <row r="152" customFormat="false" ht="15" hidden="false" customHeight="false" outlineLevel="0" collapsed="false">
      <c r="A152" s="5" t="s">
        <v>805</v>
      </c>
      <c r="B152" s="10" t="n">
        <v>46294</v>
      </c>
      <c r="C152" s="5" t="s">
        <v>111</v>
      </c>
      <c r="D152" s="5" t="s">
        <v>241</v>
      </c>
      <c r="E152" s="5" t="s">
        <v>112</v>
      </c>
      <c r="F152" s="7" t="n">
        <v>100548</v>
      </c>
      <c r="G152" s="5" t="s">
        <v>753</v>
      </c>
      <c r="H152" s="5" t="s">
        <v>747</v>
      </c>
      <c r="I152" s="5" t="s">
        <v>401</v>
      </c>
    </row>
    <row r="153" customFormat="false" ht="15" hidden="false" customHeight="false" outlineLevel="0" collapsed="false">
      <c r="E153" s="14" t="s">
        <v>806</v>
      </c>
      <c r="F153" s="15" t="n">
        <f aca="false">SUM(F91:F152)</f>
        <v>4933811.34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34"/>
    <col collapsed="false" customWidth="true" hidden="false" outlineLevel="0" max="6" min="6" style="0" width="21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1" min="11" style="0" width="34"/>
  </cols>
  <sheetData>
    <row r="1" customFormat="false" ht="31.5" hidden="false" customHeight="true" outlineLevel="0" collapsed="false">
      <c r="A1" s="4" t="s">
        <v>807</v>
      </c>
      <c r="B1" s="4" t="s">
        <v>181</v>
      </c>
      <c r="C1" s="4" t="s">
        <v>182</v>
      </c>
      <c r="D1" s="4" t="s">
        <v>133</v>
      </c>
      <c r="E1" s="4" t="s">
        <v>808</v>
      </c>
      <c r="F1" s="4" t="s">
        <v>809</v>
      </c>
      <c r="G1" s="4" t="s">
        <v>810</v>
      </c>
      <c r="H1" s="4" t="s">
        <v>185</v>
      </c>
      <c r="I1" s="4" t="s">
        <v>811</v>
      </c>
      <c r="J1" s="4" t="s">
        <v>812</v>
      </c>
      <c r="K1" s="4" t="s">
        <v>813</v>
      </c>
    </row>
    <row r="2" customFormat="false" ht="15" hidden="false" customHeight="false" outlineLevel="0" collapsed="false">
      <c r="A2" s="5" t="s">
        <v>814</v>
      </c>
      <c r="B2" s="10" t="n">
        <v>46159</v>
      </c>
      <c r="C2" s="5" t="s">
        <v>189</v>
      </c>
      <c r="D2" s="5" t="s">
        <v>138</v>
      </c>
      <c r="E2" s="5" t="s">
        <v>139</v>
      </c>
      <c r="F2" s="5" t="s">
        <v>815</v>
      </c>
      <c r="G2" s="10" t="n">
        <v>46181</v>
      </c>
      <c r="H2" s="5" t="s">
        <v>816</v>
      </c>
      <c r="I2" s="5" t="s">
        <v>817</v>
      </c>
      <c r="J2" s="5" t="s">
        <v>818</v>
      </c>
      <c r="K2" s="5" t="s">
        <v>819</v>
      </c>
    </row>
    <row r="3" customFormat="false" ht="15" hidden="false" customHeight="false" outlineLevel="0" collapsed="false">
      <c r="A3" s="5" t="s">
        <v>820</v>
      </c>
      <c r="B3" s="10" t="n">
        <v>46166</v>
      </c>
      <c r="C3" s="5" t="s">
        <v>189</v>
      </c>
      <c r="D3" s="5" t="s">
        <v>138</v>
      </c>
      <c r="E3" s="5" t="s">
        <v>139</v>
      </c>
      <c r="F3" s="5" t="s">
        <v>815</v>
      </c>
      <c r="G3" s="10" t="n">
        <v>46188</v>
      </c>
      <c r="H3" s="5" t="s">
        <v>816</v>
      </c>
      <c r="I3" s="5" t="s">
        <v>821</v>
      </c>
      <c r="J3" s="5" t="s">
        <v>822</v>
      </c>
      <c r="K3" s="5" t="s">
        <v>819</v>
      </c>
    </row>
    <row r="4" customFormat="false" ht="15" hidden="false" customHeight="false" outlineLevel="0" collapsed="false">
      <c r="A4" s="5" t="s">
        <v>823</v>
      </c>
      <c r="B4" s="10" t="n">
        <v>46173</v>
      </c>
      <c r="C4" s="5" t="s">
        <v>189</v>
      </c>
      <c r="D4" s="5" t="s">
        <v>138</v>
      </c>
      <c r="E4" s="5" t="s">
        <v>139</v>
      </c>
      <c r="F4" s="5" t="s">
        <v>815</v>
      </c>
      <c r="G4" s="10" t="n">
        <v>46191</v>
      </c>
      <c r="H4" s="5" t="s">
        <v>816</v>
      </c>
      <c r="I4" s="5" t="s">
        <v>824</v>
      </c>
      <c r="J4" s="5" t="s">
        <v>825</v>
      </c>
      <c r="K4" s="5" t="s">
        <v>819</v>
      </c>
    </row>
    <row r="5" customFormat="false" ht="15" hidden="false" customHeight="false" outlineLevel="0" collapsed="false">
      <c r="A5" s="5" t="s">
        <v>826</v>
      </c>
      <c r="B5" s="10" t="n">
        <v>46173</v>
      </c>
      <c r="C5" s="5" t="s">
        <v>189</v>
      </c>
      <c r="D5" s="5" t="s">
        <v>153</v>
      </c>
      <c r="E5" s="5" t="s">
        <v>154</v>
      </c>
      <c r="F5" s="5" t="s">
        <v>827</v>
      </c>
      <c r="G5" s="10" t="n">
        <v>46180</v>
      </c>
      <c r="H5" s="5" t="s">
        <v>816</v>
      </c>
      <c r="I5" s="5" t="s">
        <v>828</v>
      </c>
      <c r="J5" s="5" t="s">
        <v>829</v>
      </c>
      <c r="K5" s="5" t="s">
        <v>819</v>
      </c>
    </row>
    <row r="6" customFormat="false" ht="15" hidden="false" customHeight="false" outlineLevel="0" collapsed="false">
      <c r="A6" s="5" t="s">
        <v>830</v>
      </c>
      <c r="B6" s="10" t="n">
        <v>46173</v>
      </c>
      <c r="C6" s="5" t="s">
        <v>189</v>
      </c>
      <c r="D6" s="5" t="s">
        <v>161</v>
      </c>
      <c r="E6" s="5" t="s">
        <v>162</v>
      </c>
      <c r="F6" s="5" t="s">
        <v>827</v>
      </c>
      <c r="G6" s="10" t="n">
        <v>46182</v>
      </c>
      <c r="H6" s="5" t="s">
        <v>816</v>
      </c>
      <c r="I6" s="5" t="s">
        <v>831</v>
      </c>
      <c r="J6" s="5" t="s">
        <v>832</v>
      </c>
      <c r="K6" s="5" t="s">
        <v>819</v>
      </c>
    </row>
    <row r="7" customFormat="false" ht="15" hidden="false" customHeight="false" outlineLevel="0" collapsed="false">
      <c r="A7" s="5" t="s">
        <v>833</v>
      </c>
      <c r="B7" s="10" t="n">
        <v>46180</v>
      </c>
      <c r="C7" s="5" t="s">
        <v>239</v>
      </c>
      <c r="D7" s="5" t="s">
        <v>153</v>
      </c>
      <c r="E7" s="5" t="s">
        <v>154</v>
      </c>
      <c r="F7" s="5" t="s">
        <v>827</v>
      </c>
      <c r="G7" s="10" t="n">
        <v>46189</v>
      </c>
      <c r="H7" s="5" t="s">
        <v>816</v>
      </c>
      <c r="I7" s="5" t="s">
        <v>834</v>
      </c>
      <c r="J7" s="5" t="s">
        <v>835</v>
      </c>
      <c r="K7" s="5" t="s">
        <v>819</v>
      </c>
    </row>
    <row r="8" customFormat="false" ht="15" hidden="false" customHeight="false" outlineLevel="0" collapsed="false">
      <c r="A8" s="5" t="s">
        <v>836</v>
      </c>
      <c r="B8" s="10" t="n">
        <v>46181</v>
      </c>
      <c r="C8" s="5" t="s">
        <v>239</v>
      </c>
      <c r="D8" s="5" t="s">
        <v>147</v>
      </c>
      <c r="E8" s="5" t="s">
        <v>148</v>
      </c>
      <c r="F8" s="5" t="s">
        <v>815</v>
      </c>
      <c r="G8" s="10" t="n">
        <v>46204</v>
      </c>
      <c r="H8" s="5" t="s">
        <v>816</v>
      </c>
      <c r="I8" s="5" t="s">
        <v>837</v>
      </c>
      <c r="J8" s="5" t="s">
        <v>838</v>
      </c>
      <c r="K8" s="5" t="s">
        <v>839</v>
      </c>
    </row>
    <row r="9" customFormat="false" ht="15" hidden="false" customHeight="false" outlineLevel="0" collapsed="false">
      <c r="A9" s="5" t="s">
        <v>840</v>
      </c>
      <c r="B9" s="10" t="n">
        <v>46187</v>
      </c>
      <c r="C9" s="5" t="s">
        <v>239</v>
      </c>
      <c r="D9" s="5" t="s">
        <v>161</v>
      </c>
      <c r="E9" s="5" t="s">
        <v>162</v>
      </c>
      <c r="F9" s="5" t="s">
        <v>815</v>
      </c>
      <c r="G9" s="10" t="n">
        <v>46202</v>
      </c>
      <c r="H9" s="5" t="s">
        <v>816</v>
      </c>
      <c r="I9" s="5" t="s">
        <v>841</v>
      </c>
      <c r="J9" s="5" t="s">
        <v>842</v>
      </c>
      <c r="K9" s="5" t="s">
        <v>819</v>
      </c>
    </row>
    <row r="10" customFormat="false" ht="15" hidden="false" customHeight="false" outlineLevel="0" collapsed="false">
      <c r="A10" s="5" t="s">
        <v>843</v>
      </c>
      <c r="B10" s="10" t="n">
        <v>46187</v>
      </c>
      <c r="C10" s="5" t="s">
        <v>239</v>
      </c>
      <c r="D10" s="5" t="s">
        <v>161</v>
      </c>
      <c r="E10" s="5" t="s">
        <v>162</v>
      </c>
      <c r="F10" s="5" t="s">
        <v>827</v>
      </c>
      <c r="G10" s="10" t="n">
        <v>46197</v>
      </c>
      <c r="H10" s="5" t="s">
        <v>816</v>
      </c>
      <c r="I10" s="5" t="s">
        <v>844</v>
      </c>
      <c r="J10" s="5" t="s">
        <v>845</v>
      </c>
      <c r="K10" s="5" t="s">
        <v>819</v>
      </c>
    </row>
    <row r="11" customFormat="false" ht="15" hidden="false" customHeight="false" outlineLevel="0" collapsed="false">
      <c r="A11" s="5" t="s">
        <v>846</v>
      </c>
      <c r="B11" s="10" t="n">
        <v>46201</v>
      </c>
      <c r="C11" s="5" t="s">
        <v>239</v>
      </c>
      <c r="D11" s="5" t="s">
        <v>168</v>
      </c>
      <c r="E11" s="5" t="s">
        <v>169</v>
      </c>
      <c r="F11" s="5" t="s">
        <v>815</v>
      </c>
      <c r="G11" s="10" t="n">
        <v>46219</v>
      </c>
      <c r="H11" s="5" t="s">
        <v>816</v>
      </c>
      <c r="I11" s="5" t="s">
        <v>847</v>
      </c>
      <c r="J11" s="5" t="s">
        <v>848</v>
      </c>
      <c r="K11" s="5" t="s">
        <v>819</v>
      </c>
    </row>
    <row r="12" customFormat="false" ht="15" hidden="false" customHeight="false" outlineLevel="0" collapsed="false">
      <c r="A12" s="5" t="s">
        <v>849</v>
      </c>
      <c r="B12" s="10" t="n">
        <v>46201</v>
      </c>
      <c r="C12" s="5" t="s">
        <v>239</v>
      </c>
      <c r="D12" s="5" t="s">
        <v>153</v>
      </c>
      <c r="E12" s="5" t="s">
        <v>154</v>
      </c>
      <c r="F12" s="5" t="s">
        <v>827</v>
      </c>
      <c r="G12" s="10" t="n">
        <v>46208</v>
      </c>
      <c r="H12" s="5" t="s">
        <v>816</v>
      </c>
      <c r="I12" s="5" t="s">
        <v>850</v>
      </c>
      <c r="J12" s="5" t="s">
        <v>851</v>
      </c>
      <c r="K12" s="5" t="s">
        <v>819</v>
      </c>
    </row>
    <row r="13" customFormat="false" ht="15" hidden="false" customHeight="false" outlineLevel="0" collapsed="false">
      <c r="A13" s="5" t="s">
        <v>852</v>
      </c>
      <c r="B13" s="10" t="n">
        <v>46208</v>
      </c>
      <c r="C13" s="5" t="s">
        <v>288</v>
      </c>
      <c r="D13" s="5" t="s">
        <v>138</v>
      </c>
      <c r="E13" s="5" t="s">
        <v>139</v>
      </c>
      <c r="F13" s="5" t="s">
        <v>815</v>
      </c>
      <c r="G13" s="10" t="n">
        <v>46230</v>
      </c>
      <c r="H13" s="5" t="s">
        <v>816</v>
      </c>
      <c r="I13" s="5" t="s">
        <v>853</v>
      </c>
      <c r="J13" s="5" t="s">
        <v>854</v>
      </c>
      <c r="K13" s="5" t="s">
        <v>819</v>
      </c>
    </row>
    <row r="14" customFormat="false" ht="15" hidden="false" customHeight="false" outlineLevel="0" collapsed="false">
      <c r="A14" s="5" t="s">
        <v>855</v>
      </c>
      <c r="B14" s="10" t="n">
        <v>46215</v>
      </c>
      <c r="C14" s="5" t="s">
        <v>288</v>
      </c>
      <c r="D14" s="5" t="s">
        <v>161</v>
      </c>
      <c r="E14" s="5" t="s">
        <v>162</v>
      </c>
      <c r="F14" s="5" t="s">
        <v>827</v>
      </c>
      <c r="G14" s="10" t="n">
        <v>46223</v>
      </c>
      <c r="H14" s="5" t="s">
        <v>816</v>
      </c>
      <c r="I14" s="5" t="s">
        <v>856</v>
      </c>
      <c r="J14" s="5" t="s">
        <v>857</v>
      </c>
      <c r="K14" s="5" t="s">
        <v>819</v>
      </c>
    </row>
    <row r="15" customFormat="false" ht="15" hidden="false" customHeight="false" outlineLevel="0" collapsed="false">
      <c r="A15" s="5" t="s">
        <v>858</v>
      </c>
      <c r="B15" s="10" t="n">
        <v>46222</v>
      </c>
      <c r="C15" s="5" t="s">
        <v>288</v>
      </c>
      <c r="D15" s="5" t="s">
        <v>138</v>
      </c>
      <c r="E15" s="5" t="s">
        <v>139</v>
      </c>
      <c r="F15" s="5" t="s">
        <v>815</v>
      </c>
      <c r="G15" s="10" t="n">
        <v>46244</v>
      </c>
      <c r="H15" s="5" t="s">
        <v>816</v>
      </c>
      <c r="I15" s="5" t="s">
        <v>859</v>
      </c>
      <c r="J15" s="5" t="s">
        <v>860</v>
      </c>
      <c r="K15" s="5" t="s">
        <v>819</v>
      </c>
    </row>
    <row r="16" customFormat="false" ht="15" hidden="false" customHeight="false" outlineLevel="0" collapsed="false">
      <c r="A16" s="5" t="s">
        <v>861</v>
      </c>
      <c r="B16" s="10" t="n">
        <v>46222</v>
      </c>
      <c r="C16" s="5" t="s">
        <v>288</v>
      </c>
      <c r="D16" s="5" t="s">
        <v>175</v>
      </c>
      <c r="E16" s="5" t="s">
        <v>176</v>
      </c>
      <c r="F16" s="5" t="s">
        <v>862</v>
      </c>
      <c r="G16" s="10" t="n">
        <v>46233</v>
      </c>
      <c r="H16" s="5" t="s">
        <v>816</v>
      </c>
      <c r="I16" s="5" t="s">
        <v>863</v>
      </c>
      <c r="J16" s="5" t="s">
        <v>864</v>
      </c>
      <c r="K16" s="5" t="s">
        <v>819</v>
      </c>
    </row>
    <row r="17" customFormat="false" ht="15" hidden="false" customHeight="false" outlineLevel="0" collapsed="false">
      <c r="A17" s="5" t="s">
        <v>865</v>
      </c>
      <c r="B17" s="10" t="n">
        <v>46229</v>
      </c>
      <c r="C17" s="5" t="s">
        <v>288</v>
      </c>
      <c r="D17" s="5" t="s">
        <v>153</v>
      </c>
      <c r="E17" s="5" t="s">
        <v>154</v>
      </c>
      <c r="F17" s="5" t="s">
        <v>827</v>
      </c>
      <c r="G17" s="10" t="n">
        <v>46237</v>
      </c>
      <c r="H17" s="5" t="s">
        <v>816</v>
      </c>
      <c r="I17" s="5" t="s">
        <v>866</v>
      </c>
      <c r="J17" s="5" t="s">
        <v>867</v>
      </c>
      <c r="K17" s="5" t="s">
        <v>819</v>
      </c>
    </row>
    <row r="18" customFormat="false" ht="15" hidden="false" customHeight="false" outlineLevel="0" collapsed="false">
      <c r="A18" s="5" t="s">
        <v>868</v>
      </c>
      <c r="B18" s="10" t="n">
        <v>46243</v>
      </c>
      <c r="C18" s="5" t="s">
        <v>346</v>
      </c>
      <c r="D18" s="5" t="s">
        <v>161</v>
      </c>
      <c r="E18" s="5" t="s">
        <v>162</v>
      </c>
      <c r="F18" s="5" t="s">
        <v>827</v>
      </c>
      <c r="G18" s="10" t="n">
        <v>46254</v>
      </c>
      <c r="H18" s="5" t="s">
        <v>816</v>
      </c>
      <c r="I18" s="5" t="s">
        <v>869</v>
      </c>
      <c r="J18" s="5" t="s">
        <v>870</v>
      </c>
      <c r="K18" s="5" t="s">
        <v>819</v>
      </c>
    </row>
    <row r="19" customFormat="false" ht="15" hidden="false" customHeight="false" outlineLevel="0" collapsed="false">
      <c r="A19" s="5" t="s">
        <v>871</v>
      </c>
      <c r="B19" s="10" t="n">
        <v>46250</v>
      </c>
      <c r="C19" s="5" t="s">
        <v>346</v>
      </c>
      <c r="D19" s="5" t="s">
        <v>138</v>
      </c>
      <c r="E19" s="5" t="s">
        <v>139</v>
      </c>
      <c r="F19" s="5" t="s">
        <v>815</v>
      </c>
      <c r="G19" s="10" t="n">
        <v>46272</v>
      </c>
      <c r="H19" s="5" t="s">
        <v>816</v>
      </c>
      <c r="I19" s="5" t="s">
        <v>872</v>
      </c>
      <c r="J19" s="5" t="s">
        <v>873</v>
      </c>
      <c r="K19" s="5" t="s">
        <v>819</v>
      </c>
    </row>
    <row r="20" customFormat="false" ht="15" hidden="false" customHeight="false" outlineLevel="0" collapsed="false">
      <c r="A20" s="5" t="s">
        <v>874</v>
      </c>
      <c r="B20" s="10" t="n">
        <v>46250</v>
      </c>
      <c r="C20" s="5" t="s">
        <v>346</v>
      </c>
      <c r="D20" s="5" t="s">
        <v>153</v>
      </c>
      <c r="E20" s="5" t="s">
        <v>154</v>
      </c>
      <c r="F20" s="5" t="s">
        <v>815</v>
      </c>
      <c r="G20" s="10" t="n">
        <v>46267</v>
      </c>
      <c r="H20" s="5" t="s">
        <v>816</v>
      </c>
      <c r="I20" s="5" t="s">
        <v>875</v>
      </c>
      <c r="J20" s="5" t="s">
        <v>876</v>
      </c>
      <c r="K20" s="5" t="s">
        <v>819</v>
      </c>
    </row>
    <row r="21" customFormat="false" ht="15" hidden="false" customHeight="false" outlineLevel="0" collapsed="false">
      <c r="A21" s="5" t="s">
        <v>877</v>
      </c>
      <c r="B21" s="10" t="n">
        <v>46257</v>
      </c>
      <c r="C21" s="5" t="s">
        <v>346</v>
      </c>
      <c r="D21" s="5" t="s">
        <v>138</v>
      </c>
      <c r="E21" s="5" t="s">
        <v>139</v>
      </c>
      <c r="F21" s="5" t="s">
        <v>815</v>
      </c>
      <c r="G21" s="10" t="n">
        <v>46279</v>
      </c>
      <c r="H21" s="5" t="s">
        <v>816</v>
      </c>
      <c r="I21" s="5" t="s">
        <v>878</v>
      </c>
      <c r="J21" s="5" t="s">
        <v>879</v>
      </c>
      <c r="K21" s="5" t="s">
        <v>819</v>
      </c>
    </row>
    <row r="22" customFormat="false" ht="15" hidden="false" customHeight="false" outlineLevel="0" collapsed="false">
      <c r="A22" s="5" t="s">
        <v>880</v>
      </c>
      <c r="B22" s="10" t="n">
        <v>46257</v>
      </c>
      <c r="C22" s="5" t="s">
        <v>346</v>
      </c>
      <c r="D22" s="5" t="s">
        <v>175</v>
      </c>
      <c r="E22" s="5" t="s">
        <v>176</v>
      </c>
      <c r="F22" s="5" t="s">
        <v>862</v>
      </c>
      <c r="G22" s="10" t="n">
        <v>46268</v>
      </c>
      <c r="H22" s="5" t="s">
        <v>816</v>
      </c>
      <c r="I22" s="5" t="s">
        <v>881</v>
      </c>
      <c r="J22" s="5" t="s">
        <v>882</v>
      </c>
      <c r="K22" s="5" t="s">
        <v>819</v>
      </c>
    </row>
    <row r="23" customFormat="false" ht="15" hidden="false" customHeight="false" outlineLevel="0" collapsed="false">
      <c r="A23" s="5" t="s">
        <v>883</v>
      </c>
      <c r="B23" s="10" t="n">
        <v>46264</v>
      </c>
      <c r="C23" s="5" t="s">
        <v>346</v>
      </c>
      <c r="D23" s="5" t="s">
        <v>175</v>
      </c>
      <c r="E23" s="5" t="s">
        <v>176</v>
      </c>
      <c r="F23" s="5" t="s">
        <v>862</v>
      </c>
      <c r="G23" s="10" t="n">
        <v>46273</v>
      </c>
      <c r="H23" s="5" t="s">
        <v>816</v>
      </c>
      <c r="I23" s="5" t="s">
        <v>884</v>
      </c>
      <c r="J23" s="5" t="s">
        <v>885</v>
      </c>
      <c r="K23" s="5" t="s">
        <v>819</v>
      </c>
    </row>
    <row r="24" customFormat="false" ht="15" hidden="false" customHeight="false" outlineLevel="0" collapsed="false">
      <c r="A24" s="5" t="s">
        <v>886</v>
      </c>
      <c r="B24" s="10" t="n">
        <v>46271</v>
      </c>
      <c r="C24" s="5" t="s">
        <v>401</v>
      </c>
      <c r="D24" s="5" t="s">
        <v>168</v>
      </c>
      <c r="E24" s="5" t="s">
        <v>169</v>
      </c>
      <c r="F24" s="5" t="s">
        <v>815</v>
      </c>
      <c r="G24" s="10" t="n">
        <v>46294</v>
      </c>
      <c r="H24" s="5" t="s">
        <v>816</v>
      </c>
      <c r="I24" s="5" t="s">
        <v>887</v>
      </c>
      <c r="J24" s="5" t="s">
        <v>888</v>
      </c>
      <c r="K24" s="5" t="s">
        <v>819</v>
      </c>
    </row>
    <row r="25" customFormat="false" ht="15" hidden="false" customHeight="false" outlineLevel="0" collapsed="false">
      <c r="A25" s="5" t="s">
        <v>889</v>
      </c>
      <c r="B25" s="10" t="n">
        <v>46271</v>
      </c>
      <c r="C25" s="5" t="s">
        <v>401</v>
      </c>
      <c r="D25" s="5" t="s">
        <v>153</v>
      </c>
      <c r="E25" s="5" t="s">
        <v>154</v>
      </c>
      <c r="F25" s="5" t="s">
        <v>827</v>
      </c>
      <c r="G25" s="10" t="n">
        <v>46280</v>
      </c>
      <c r="H25" s="5" t="s">
        <v>816</v>
      </c>
      <c r="I25" s="5" t="s">
        <v>890</v>
      </c>
      <c r="J25" s="5" t="s">
        <v>891</v>
      </c>
      <c r="K25" s="5" t="s">
        <v>819</v>
      </c>
    </row>
    <row r="26" customFormat="false" ht="15" hidden="false" customHeight="false" outlineLevel="0" collapsed="false">
      <c r="A26" s="5" t="s">
        <v>892</v>
      </c>
      <c r="B26" s="10" t="n">
        <v>46271</v>
      </c>
      <c r="C26" s="5" t="s">
        <v>401</v>
      </c>
      <c r="D26" s="5" t="s">
        <v>161</v>
      </c>
      <c r="E26" s="5" t="s">
        <v>162</v>
      </c>
      <c r="F26" s="5" t="s">
        <v>827</v>
      </c>
      <c r="G26" s="10" t="n">
        <v>46280</v>
      </c>
      <c r="H26" s="5" t="s">
        <v>816</v>
      </c>
      <c r="I26" s="5" t="s">
        <v>893</v>
      </c>
      <c r="J26" s="5" t="s">
        <v>894</v>
      </c>
      <c r="K26" s="5" t="s">
        <v>819</v>
      </c>
    </row>
    <row r="27" customFormat="false" ht="15" hidden="false" customHeight="false" outlineLevel="0" collapsed="false">
      <c r="A27" s="5" t="s">
        <v>895</v>
      </c>
      <c r="B27" s="10" t="n">
        <v>46292</v>
      </c>
      <c r="C27" s="5" t="s">
        <v>401</v>
      </c>
      <c r="D27" s="5" t="s">
        <v>138</v>
      </c>
      <c r="E27" s="5" t="s">
        <v>139</v>
      </c>
      <c r="F27" s="5" t="s">
        <v>815</v>
      </c>
      <c r="G27" s="10" t="n">
        <v>46313</v>
      </c>
      <c r="H27" s="5" t="s">
        <v>896</v>
      </c>
      <c r="I27" s="5"/>
      <c r="J27" s="5" t="s">
        <v>897</v>
      </c>
      <c r="K27" s="5" t="s">
        <v>819</v>
      </c>
    </row>
    <row r="28" customFormat="false" ht="15" hidden="false" customHeight="false" outlineLevel="0" collapsed="false">
      <c r="A28" s="5" t="s">
        <v>898</v>
      </c>
      <c r="B28" s="10" t="n">
        <v>46292</v>
      </c>
      <c r="C28" s="5" t="s">
        <v>401</v>
      </c>
      <c r="D28" s="5" t="s">
        <v>153</v>
      </c>
      <c r="E28" s="5" t="s">
        <v>154</v>
      </c>
      <c r="F28" s="5" t="s">
        <v>827</v>
      </c>
      <c r="G28" s="10" t="n">
        <v>46300</v>
      </c>
      <c r="H28" s="5" t="s">
        <v>896</v>
      </c>
      <c r="I28" s="5"/>
      <c r="J28" s="5" t="s">
        <v>897</v>
      </c>
      <c r="K28" s="5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5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21"/>
  </cols>
  <sheetData>
    <row r="1" customFormat="false" ht="31.5" hidden="false" customHeight="true" outlineLevel="0" collapsed="false">
      <c r="A1" s="4" t="s">
        <v>807</v>
      </c>
      <c r="B1" s="4" t="s">
        <v>450</v>
      </c>
      <c r="C1" s="4" t="s">
        <v>451</v>
      </c>
      <c r="D1" s="4" t="s">
        <v>452</v>
      </c>
      <c r="E1" s="4" t="s">
        <v>453</v>
      </c>
      <c r="F1" s="4" t="s">
        <v>899</v>
      </c>
      <c r="G1" s="4" t="s">
        <v>456</v>
      </c>
      <c r="H1" s="4" t="s">
        <v>900</v>
      </c>
      <c r="I1" s="4" t="s">
        <v>901</v>
      </c>
      <c r="J1" s="4" t="s">
        <v>902</v>
      </c>
      <c r="K1" s="4" t="s">
        <v>903</v>
      </c>
    </row>
    <row r="2" customFormat="false" ht="15" hidden="false" customHeight="false" outlineLevel="0" collapsed="false">
      <c r="A2" s="5" t="s">
        <v>814</v>
      </c>
      <c r="B2" s="5" t="n">
        <v>1</v>
      </c>
      <c r="C2" s="5" t="s">
        <v>472</v>
      </c>
      <c r="D2" s="5" t="s">
        <v>473</v>
      </c>
      <c r="E2" s="5" t="n">
        <v>9</v>
      </c>
      <c r="F2" s="5" t="n">
        <v>9</v>
      </c>
      <c r="G2" s="5" t="s">
        <v>469</v>
      </c>
      <c r="H2" s="7" t="n">
        <v>42000</v>
      </c>
      <c r="I2" s="5" t="n">
        <f aca="false">E2-F2</f>
        <v>0</v>
      </c>
      <c r="J2" s="7" t="n">
        <f aca="false">F2*H2</f>
        <v>378000</v>
      </c>
      <c r="K2" s="7" t="n">
        <f aca="false">E2*H2</f>
        <v>378000</v>
      </c>
    </row>
    <row r="3" customFormat="false" ht="15" hidden="false" customHeight="false" outlineLevel="0" collapsed="false">
      <c r="A3" s="5" t="s">
        <v>820</v>
      </c>
      <c r="B3" s="5" t="n">
        <v>1</v>
      </c>
      <c r="C3" s="5" t="s">
        <v>476</v>
      </c>
      <c r="D3" s="5" t="s">
        <v>477</v>
      </c>
      <c r="E3" s="5" t="n">
        <v>7</v>
      </c>
      <c r="F3" s="5" t="n">
        <v>7</v>
      </c>
      <c r="G3" s="5" t="s">
        <v>469</v>
      </c>
      <c r="H3" s="7" t="n">
        <v>36000</v>
      </c>
      <c r="I3" s="5" t="n">
        <f aca="false">E3-F3</f>
        <v>0</v>
      </c>
      <c r="J3" s="7" t="n">
        <f aca="false">F3*H3</f>
        <v>252000</v>
      </c>
      <c r="K3" s="7" t="n">
        <f aca="false">E3*H3</f>
        <v>252000</v>
      </c>
    </row>
    <row r="4" customFormat="false" ht="15" hidden="false" customHeight="false" outlineLevel="0" collapsed="false">
      <c r="A4" s="5" t="s">
        <v>823</v>
      </c>
      <c r="B4" s="5" t="n">
        <v>1</v>
      </c>
      <c r="C4" s="5" t="s">
        <v>467</v>
      </c>
      <c r="D4" s="5" t="s">
        <v>468</v>
      </c>
      <c r="E4" s="5" t="n">
        <v>18</v>
      </c>
      <c r="F4" s="5" t="n">
        <v>18</v>
      </c>
      <c r="G4" s="5" t="s">
        <v>469</v>
      </c>
      <c r="H4" s="7" t="n">
        <v>18500</v>
      </c>
      <c r="I4" s="5" t="n">
        <f aca="false">E4-F4</f>
        <v>0</v>
      </c>
      <c r="J4" s="7" t="n">
        <f aca="false">F4*H4</f>
        <v>333000</v>
      </c>
      <c r="K4" s="7" t="n">
        <f aca="false">E4*H4</f>
        <v>333000</v>
      </c>
    </row>
    <row r="5" customFormat="false" ht="15" hidden="false" customHeight="false" outlineLevel="0" collapsed="false">
      <c r="A5" s="5" t="s">
        <v>826</v>
      </c>
      <c r="B5" s="5" t="n">
        <v>1</v>
      </c>
      <c r="C5" s="5" t="s">
        <v>464</v>
      </c>
      <c r="D5" s="5" t="s">
        <v>465</v>
      </c>
      <c r="E5" s="5" t="n">
        <v>2706</v>
      </c>
      <c r="F5" s="5" t="n">
        <v>2706</v>
      </c>
      <c r="G5" s="5" t="s">
        <v>466</v>
      </c>
      <c r="H5" s="7" t="n">
        <v>38</v>
      </c>
      <c r="I5" s="5" t="n">
        <f aca="false">E5-F5</f>
        <v>0</v>
      </c>
      <c r="J5" s="7" t="n">
        <f aca="false">F5*H5</f>
        <v>102828</v>
      </c>
      <c r="K5" s="7" t="n">
        <f aca="false">E5*H5</f>
        <v>102828</v>
      </c>
    </row>
    <row r="6" customFormat="false" ht="15" hidden="false" customHeight="false" outlineLevel="0" collapsed="false">
      <c r="A6" s="5" t="s">
        <v>830</v>
      </c>
      <c r="B6" s="5" t="n">
        <v>1</v>
      </c>
      <c r="C6" s="5" t="s">
        <v>484</v>
      </c>
      <c r="D6" s="5" t="s">
        <v>485</v>
      </c>
      <c r="E6" s="5" t="n">
        <v>427</v>
      </c>
      <c r="F6" s="5" t="n">
        <v>427</v>
      </c>
      <c r="G6" s="5" t="s">
        <v>486</v>
      </c>
      <c r="H6" s="7" t="n">
        <v>120</v>
      </c>
      <c r="I6" s="5" t="n">
        <f aca="false">E6-F6</f>
        <v>0</v>
      </c>
      <c r="J6" s="7" t="n">
        <f aca="false">F6*H6</f>
        <v>51240</v>
      </c>
      <c r="K6" s="7" t="n">
        <f aca="false">E6*H6</f>
        <v>51240</v>
      </c>
    </row>
    <row r="7" customFormat="false" ht="15" hidden="false" customHeight="false" outlineLevel="0" collapsed="false">
      <c r="A7" s="5" t="s">
        <v>833</v>
      </c>
      <c r="B7" s="5" t="n">
        <v>1</v>
      </c>
      <c r="C7" s="5" t="s">
        <v>492</v>
      </c>
      <c r="D7" s="5" t="s">
        <v>493</v>
      </c>
      <c r="E7" s="5" t="n">
        <v>939</v>
      </c>
      <c r="F7" s="5" t="n">
        <v>939</v>
      </c>
      <c r="G7" s="5" t="s">
        <v>486</v>
      </c>
      <c r="H7" s="7" t="n">
        <v>95</v>
      </c>
      <c r="I7" s="5" t="n">
        <f aca="false">E7-F7</f>
        <v>0</v>
      </c>
      <c r="J7" s="7" t="n">
        <f aca="false">F7*H7</f>
        <v>89205</v>
      </c>
      <c r="K7" s="7" t="n">
        <f aca="false">E7*H7</f>
        <v>89205</v>
      </c>
    </row>
    <row r="8" customFormat="false" ht="15" hidden="false" customHeight="false" outlineLevel="0" collapsed="false">
      <c r="A8" s="5" t="s">
        <v>836</v>
      </c>
      <c r="B8" s="5" t="n">
        <v>1</v>
      </c>
      <c r="C8" s="5" t="s">
        <v>510</v>
      </c>
      <c r="D8" s="5" t="s">
        <v>511</v>
      </c>
      <c r="E8" s="5" t="n">
        <v>1</v>
      </c>
      <c r="F8" s="5" t="n">
        <v>1</v>
      </c>
      <c r="G8" s="5" t="s">
        <v>469</v>
      </c>
      <c r="H8" s="7" t="n">
        <v>18500000</v>
      </c>
      <c r="I8" s="5" t="n">
        <f aca="false">E8-F8</f>
        <v>0</v>
      </c>
      <c r="J8" s="7" t="n">
        <f aca="false">F8*H8</f>
        <v>18500000</v>
      </c>
      <c r="K8" s="7" t="n">
        <f aca="false">E8*H8</f>
        <v>18500000</v>
      </c>
    </row>
    <row r="9" customFormat="false" ht="15" hidden="false" customHeight="false" outlineLevel="0" collapsed="false">
      <c r="A9" s="5" t="s">
        <v>840</v>
      </c>
      <c r="B9" s="5" t="n">
        <v>1</v>
      </c>
      <c r="C9" s="5" t="s">
        <v>461</v>
      </c>
      <c r="D9" s="5" t="s">
        <v>462</v>
      </c>
      <c r="E9" s="5" t="n">
        <v>9</v>
      </c>
      <c r="F9" s="5" t="n">
        <v>9</v>
      </c>
      <c r="G9" s="5" t="s">
        <v>463</v>
      </c>
      <c r="H9" s="7" t="n">
        <v>27500</v>
      </c>
      <c r="I9" s="5" t="n">
        <f aca="false">E9-F9</f>
        <v>0</v>
      </c>
      <c r="J9" s="7" t="n">
        <f aca="false">F9*H9</f>
        <v>247500</v>
      </c>
      <c r="K9" s="7" t="n">
        <f aca="false">E9*H9</f>
        <v>247500</v>
      </c>
    </row>
    <row r="10" customFormat="false" ht="15" hidden="false" customHeight="false" outlineLevel="0" collapsed="false">
      <c r="A10" s="5" t="s">
        <v>843</v>
      </c>
      <c r="B10" s="5" t="n">
        <v>1</v>
      </c>
      <c r="C10" s="5" t="s">
        <v>480</v>
      </c>
      <c r="D10" s="5" t="s">
        <v>481</v>
      </c>
      <c r="E10" s="5" t="n">
        <v>1836</v>
      </c>
      <c r="F10" s="5" t="n">
        <v>1836</v>
      </c>
      <c r="G10" s="5" t="s">
        <v>466</v>
      </c>
      <c r="H10" s="7" t="n">
        <v>165</v>
      </c>
      <c r="I10" s="5" t="n">
        <f aca="false">E10-F10</f>
        <v>0</v>
      </c>
      <c r="J10" s="7" t="n">
        <f aca="false">F10*H10</f>
        <v>302940</v>
      </c>
      <c r="K10" s="7" t="n">
        <f aca="false">E10*H10</f>
        <v>302940</v>
      </c>
    </row>
    <row r="11" customFormat="false" ht="15" hidden="false" customHeight="false" outlineLevel="0" collapsed="false">
      <c r="A11" s="5" t="s">
        <v>846</v>
      </c>
      <c r="B11" s="5" t="n">
        <v>1</v>
      </c>
      <c r="C11" s="5" t="s">
        <v>496</v>
      </c>
      <c r="D11" s="5" t="s">
        <v>497</v>
      </c>
      <c r="E11" s="5" t="n">
        <v>14</v>
      </c>
      <c r="F11" s="5" t="n">
        <v>14</v>
      </c>
      <c r="G11" s="5" t="s">
        <v>469</v>
      </c>
      <c r="H11" s="7" t="n">
        <v>14200</v>
      </c>
      <c r="I11" s="5" t="n">
        <f aca="false">E11-F11</f>
        <v>0</v>
      </c>
      <c r="J11" s="7" t="n">
        <f aca="false">F11*H11</f>
        <v>198800</v>
      </c>
      <c r="K11" s="7" t="n">
        <f aca="false">E11*H11</f>
        <v>198800</v>
      </c>
    </row>
    <row r="12" customFormat="false" ht="15" hidden="false" customHeight="false" outlineLevel="0" collapsed="false">
      <c r="A12" s="5" t="s">
        <v>849</v>
      </c>
      <c r="B12" s="5" t="n">
        <v>1</v>
      </c>
      <c r="C12" s="5" t="s">
        <v>474</v>
      </c>
      <c r="D12" s="5" t="s">
        <v>475</v>
      </c>
      <c r="E12" s="5" t="n">
        <v>1307</v>
      </c>
      <c r="F12" s="5" t="n">
        <v>1307</v>
      </c>
      <c r="G12" s="5" t="s">
        <v>466</v>
      </c>
      <c r="H12" s="7" t="n">
        <v>145</v>
      </c>
      <c r="I12" s="5" t="n">
        <f aca="false">E12-F12</f>
        <v>0</v>
      </c>
      <c r="J12" s="7" t="n">
        <f aca="false">F12*H12</f>
        <v>189515</v>
      </c>
      <c r="K12" s="7" t="n">
        <f aca="false">E12*H12</f>
        <v>189515</v>
      </c>
    </row>
    <row r="13" customFormat="false" ht="15" hidden="false" customHeight="false" outlineLevel="0" collapsed="false">
      <c r="A13" s="5" t="s">
        <v>852</v>
      </c>
      <c r="B13" s="5" t="n">
        <v>1</v>
      </c>
      <c r="C13" s="5" t="s">
        <v>503</v>
      </c>
      <c r="D13" s="5" t="s">
        <v>504</v>
      </c>
      <c r="E13" s="5" t="n">
        <v>5</v>
      </c>
      <c r="F13" s="5" t="n">
        <v>5</v>
      </c>
      <c r="G13" s="5" t="s">
        <v>469</v>
      </c>
      <c r="H13" s="7" t="n">
        <v>98000</v>
      </c>
      <c r="I13" s="5" t="n">
        <f aca="false">E13-F13</f>
        <v>0</v>
      </c>
      <c r="J13" s="7" t="n">
        <f aca="false">F13*H13</f>
        <v>490000</v>
      </c>
      <c r="K13" s="7" t="n">
        <f aca="false">E13*H13</f>
        <v>490000</v>
      </c>
    </row>
    <row r="14" customFormat="false" ht="15" hidden="false" customHeight="false" outlineLevel="0" collapsed="false">
      <c r="A14" s="5" t="s">
        <v>855</v>
      </c>
      <c r="B14" s="5" t="n">
        <v>1</v>
      </c>
      <c r="C14" s="5" t="s">
        <v>501</v>
      </c>
      <c r="D14" s="5" t="s">
        <v>502</v>
      </c>
      <c r="E14" s="5" t="n">
        <v>644</v>
      </c>
      <c r="F14" s="5" t="n">
        <v>644</v>
      </c>
      <c r="G14" s="5" t="s">
        <v>466</v>
      </c>
      <c r="H14" s="7" t="n">
        <v>330</v>
      </c>
      <c r="I14" s="5" t="n">
        <f aca="false">E14-F14</f>
        <v>0</v>
      </c>
      <c r="J14" s="7" t="n">
        <f aca="false">F14*H14</f>
        <v>212520</v>
      </c>
      <c r="K14" s="7" t="n">
        <f aca="false">E14*H14</f>
        <v>212520</v>
      </c>
    </row>
    <row r="15" customFormat="false" ht="15" hidden="false" customHeight="false" outlineLevel="0" collapsed="false">
      <c r="A15" s="5" t="s">
        <v>858</v>
      </c>
      <c r="B15" s="5" t="n">
        <v>1</v>
      </c>
      <c r="C15" s="5" t="s">
        <v>467</v>
      </c>
      <c r="D15" s="5" t="s">
        <v>468</v>
      </c>
      <c r="E15" s="5" t="n">
        <v>15</v>
      </c>
      <c r="F15" s="5" t="n">
        <v>15</v>
      </c>
      <c r="G15" s="5" t="s">
        <v>469</v>
      </c>
      <c r="H15" s="7" t="n">
        <v>18500</v>
      </c>
      <c r="I15" s="5" t="n">
        <f aca="false">E15-F15</f>
        <v>0</v>
      </c>
      <c r="J15" s="7" t="n">
        <f aca="false">F15*H15</f>
        <v>277500</v>
      </c>
      <c r="K15" s="7" t="n">
        <f aca="false">E15*H15</f>
        <v>277500</v>
      </c>
    </row>
    <row r="16" customFormat="false" ht="15" hidden="false" customHeight="false" outlineLevel="0" collapsed="false">
      <c r="A16" s="5" t="s">
        <v>861</v>
      </c>
      <c r="B16" s="5" t="n">
        <v>1</v>
      </c>
      <c r="C16" s="5" t="s">
        <v>470</v>
      </c>
      <c r="D16" s="5" t="s">
        <v>471</v>
      </c>
      <c r="E16" s="5" t="n">
        <v>36</v>
      </c>
      <c r="F16" s="5" t="n">
        <v>36</v>
      </c>
      <c r="G16" s="5" t="s">
        <v>469</v>
      </c>
      <c r="H16" s="7" t="n">
        <v>3600</v>
      </c>
      <c r="I16" s="5" t="n">
        <f aca="false">E16-F16</f>
        <v>0</v>
      </c>
      <c r="J16" s="7" t="n">
        <f aca="false">F16*H16</f>
        <v>129600</v>
      </c>
      <c r="K16" s="7" t="n">
        <f aca="false">E16*H16</f>
        <v>129600</v>
      </c>
    </row>
    <row r="17" customFormat="false" ht="15" hidden="false" customHeight="false" outlineLevel="0" collapsed="false">
      <c r="A17" s="5" t="s">
        <v>865</v>
      </c>
      <c r="B17" s="5" t="n">
        <v>1</v>
      </c>
      <c r="C17" s="5" t="s">
        <v>474</v>
      </c>
      <c r="D17" s="5" t="s">
        <v>475</v>
      </c>
      <c r="E17" s="5" t="n">
        <v>1272</v>
      </c>
      <c r="F17" s="5" t="n">
        <v>1272</v>
      </c>
      <c r="G17" s="5" t="s">
        <v>466</v>
      </c>
      <c r="H17" s="7" t="n">
        <v>145</v>
      </c>
      <c r="I17" s="5" t="n">
        <f aca="false">E17-F17</f>
        <v>0</v>
      </c>
      <c r="J17" s="7" t="n">
        <f aca="false">F17*H17</f>
        <v>184440</v>
      </c>
      <c r="K17" s="7" t="n">
        <f aca="false">E17*H17</f>
        <v>184440</v>
      </c>
    </row>
    <row r="18" customFormat="false" ht="15" hidden="false" customHeight="false" outlineLevel="0" collapsed="false">
      <c r="A18" s="5" t="s">
        <v>865</v>
      </c>
      <c r="B18" s="5" t="n">
        <v>2</v>
      </c>
      <c r="C18" s="5" t="s">
        <v>490</v>
      </c>
      <c r="D18" s="5" t="s">
        <v>491</v>
      </c>
      <c r="E18" s="5" t="n">
        <v>734</v>
      </c>
      <c r="F18" s="5" t="n">
        <v>734</v>
      </c>
      <c r="G18" s="5" t="s">
        <v>466</v>
      </c>
      <c r="H18" s="7" t="n">
        <v>210</v>
      </c>
      <c r="I18" s="5" t="n">
        <f aca="false">E18-F18</f>
        <v>0</v>
      </c>
      <c r="J18" s="7" t="n">
        <f aca="false">F18*H18</f>
        <v>154140</v>
      </c>
      <c r="K18" s="7" t="n">
        <f aca="false">E18*H18</f>
        <v>154140</v>
      </c>
    </row>
    <row r="19" customFormat="false" ht="15" hidden="false" customHeight="false" outlineLevel="0" collapsed="false">
      <c r="A19" s="5" t="s">
        <v>865</v>
      </c>
      <c r="B19" s="5" t="n">
        <v>3</v>
      </c>
      <c r="C19" s="5" t="s">
        <v>492</v>
      </c>
      <c r="D19" s="5" t="s">
        <v>493</v>
      </c>
      <c r="E19" s="5" t="n">
        <v>921</v>
      </c>
      <c r="F19" s="5" t="n">
        <v>921</v>
      </c>
      <c r="G19" s="5" t="s">
        <v>486</v>
      </c>
      <c r="H19" s="7" t="n">
        <v>95</v>
      </c>
      <c r="I19" s="5" t="n">
        <f aca="false">E19-F19</f>
        <v>0</v>
      </c>
      <c r="J19" s="7" t="n">
        <f aca="false">F19*H19</f>
        <v>87495</v>
      </c>
      <c r="K19" s="7" t="n">
        <f aca="false">E19*H19</f>
        <v>87495</v>
      </c>
    </row>
    <row r="20" customFormat="false" ht="15" hidden="false" customHeight="false" outlineLevel="0" collapsed="false">
      <c r="A20" s="5" t="s">
        <v>868</v>
      </c>
      <c r="B20" s="5" t="n">
        <v>1</v>
      </c>
      <c r="C20" s="5" t="s">
        <v>498</v>
      </c>
      <c r="D20" s="5" t="s">
        <v>499</v>
      </c>
      <c r="E20" s="5" t="n">
        <v>296</v>
      </c>
      <c r="F20" s="5" t="n">
        <v>296</v>
      </c>
      <c r="G20" s="5" t="s">
        <v>500</v>
      </c>
      <c r="H20" s="7" t="n">
        <v>1150</v>
      </c>
      <c r="I20" s="5" t="n">
        <f aca="false">E20-F20</f>
        <v>0</v>
      </c>
      <c r="J20" s="7" t="n">
        <f aca="false">F20*H20</f>
        <v>340400</v>
      </c>
      <c r="K20" s="7" t="n">
        <f aca="false">E20*H20</f>
        <v>340400</v>
      </c>
    </row>
    <row r="21" customFormat="false" ht="15" hidden="false" customHeight="false" outlineLevel="0" collapsed="false">
      <c r="A21" s="5" t="s">
        <v>871</v>
      </c>
      <c r="B21" s="5" t="n">
        <v>1</v>
      </c>
      <c r="C21" s="5" t="s">
        <v>467</v>
      </c>
      <c r="D21" s="5" t="s">
        <v>468</v>
      </c>
      <c r="E21" s="5" t="n">
        <v>17</v>
      </c>
      <c r="F21" s="5" t="n">
        <v>17</v>
      </c>
      <c r="G21" s="5" t="s">
        <v>469</v>
      </c>
      <c r="H21" s="7" t="n">
        <v>18500</v>
      </c>
      <c r="I21" s="5" t="n">
        <f aca="false">E21-F21</f>
        <v>0</v>
      </c>
      <c r="J21" s="7" t="n">
        <f aca="false">F21*H21</f>
        <v>314500</v>
      </c>
      <c r="K21" s="7" t="n">
        <f aca="false">E21*H21</f>
        <v>314500</v>
      </c>
    </row>
    <row r="22" customFormat="false" ht="15" hidden="false" customHeight="false" outlineLevel="0" collapsed="false">
      <c r="A22" s="5" t="s">
        <v>874</v>
      </c>
      <c r="B22" s="5" t="n">
        <v>1</v>
      </c>
      <c r="C22" s="5" t="s">
        <v>508</v>
      </c>
      <c r="D22" s="5" t="s">
        <v>509</v>
      </c>
      <c r="E22" s="5" t="n">
        <v>13</v>
      </c>
      <c r="F22" s="5" t="n">
        <v>13</v>
      </c>
      <c r="G22" s="5" t="s">
        <v>469</v>
      </c>
      <c r="H22" s="7" t="n">
        <v>31000</v>
      </c>
      <c r="I22" s="5" t="n">
        <f aca="false">E22-F22</f>
        <v>0</v>
      </c>
      <c r="J22" s="7" t="n">
        <f aca="false">F22*H22</f>
        <v>403000</v>
      </c>
      <c r="K22" s="7" t="n">
        <f aca="false">E22*H22</f>
        <v>403000</v>
      </c>
    </row>
    <row r="23" customFormat="false" ht="15" hidden="false" customHeight="false" outlineLevel="0" collapsed="false">
      <c r="A23" s="5" t="s">
        <v>877</v>
      </c>
      <c r="B23" s="5" t="n">
        <v>1</v>
      </c>
      <c r="C23" s="5" t="s">
        <v>476</v>
      </c>
      <c r="D23" s="5" t="s">
        <v>477</v>
      </c>
      <c r="E23" s="5" t="n">
        <v>7</v>
      </c>
      <c r="F23" s="5" t="n">
        <v>7</v>
      </c>
      <c r="G23" s="5" t="s">
        <v>469</v>
      </c>
      <c r="H23" s="7" t="n">
        <v>36000</v>
      </c>
      <c r="I23" s="5" t="n">
        <f aca="false">E23-F23</f>
        <v>0</v>
      </c>
      <c r="J23" s="7" t="n">
        <f aca="false">F23*H23</f>
        <v>252000</v>
      </c>
      <c r="K23" s="7" t="n">
        <f aca="false">E23*H23</f>
        <v>252000</v>
      </c>
    </row>
    <row r="24" customFormat="false" ht="15" hidden="false" customHeight="false" outlineLevel="0" collapsed="false">
      <c r="A24" s="5" t="s">
        <v>880</v>
      </c>
      <c r="B24" s="5" t="n">
        <v>1</v>
      </c>
      <c r="C24" s="5" t="s">
        <v>482</v>
      </c>
      <c r="D24" s="5" t="s">
        <v>483</v>
      </c>
      <c r="E24" s="5" t="n">
        <v>54</v>
      </c>
      <c r="F24" s="5" t="n">
        <v>54</v>
      </c>
      <c r="G24" s="5" t="s">
        <v>469</v>
      </c>
      <c r="H24" s="7" t="n">
        <v>1250</v>
      </c>
      <c r="I24" s="5" t="n">
        <f aca="false">E24-F24</f>
        <v>0</v>
      </c>
      <c r="J24" s="7" t="n">
        <f aca="false">F24*H24</f>
        <v>67500</v>
      </c>
      <c r="K24" s="7" t="n">
        <f aca="false">E24*H24</f>
        <v>67500</v>
      </c>
    </row>
    <row r="25" customFormat="false" ht="15" hidden="false" customHeight="false" outlineLevel="0" collapsed="false">
      <c r="A25" s="5" t="s">
        <v>883</v>
      </c>
      <c r="B25" s="5" t="n">
        <v>1</v>
      </c>
      <c r="C25" s="5" t="s">
        <v>494</v>
      </c>
      <c r="D25" s="5" t="s">
        <v>495</v>
      </c>
      <c r="E25" s="5" t="n">
        <v>144</v>
      </c>
      <c r="F25" s="5" t="n">
        <v>144</v>
      </c>
      <c r="G25" s="5" t="s">
        <v>466</v>
      </c>
      <c r="H25" s="7" t="n">
        <v>460</v>
      </c>
      <c r="I25" s="5" t="n">
        <f aca="false">E25-F25</f>
        <v>0</v>
      </c>
      <c r="J25" s="7" t="n">
        <f aca="false">F25*H25</f>
        <v>66240</v>
      </c>
      <c r="K25" s="7" t="n">
        <f aca="false">E25*H25</f>
        <v>66240</v>
      </c>
    </row>
    <row r="26" customFormat="false" ht="15" hidden="false" customHeight="false" outlineLevel="0" collapsed="false">
      <c r="A26" s="5" t="s">
        <v>886</v>
      </c>
      <c r="B26" s="5" t="n">
        <v>1</v>
      </c>
      <c r="C26" s="5" t="s">
        <v>512</v>
      </c>
      <c r="D26" s="5" t="s">
        <v>513</v>
      </c>
      <c r="E26" s="5" t="n">
        <v>4</v>
      </c>
      <c r="F26" s="5" t="n">
        <v>4</v>
      </c>
      <c r="G26" s="5" t="s">
        <v>469</v>
      </c>
      <c r="H26" s="7" t="n">
        <v>118000</v>
      </c>
      <c r="I26" s="5" t="n">
        <f aca="false">E26-F26</f>
        <v>0</v>
      </c>
      <c r="J26" s="7" t="n">
        <f aca="false">F26*H26</f>
        <v>472000</v>
      </c>
      <c r="K26" s="7" t="n">
        <f aca="false">E26*H26</f>
        <v>472000</v>
      </c>
    </row>
    <row r="27" customFormat="false" ht="15" hidden="false" customHeight="false" outlineLevel="0" collapsed="false">
      <c r="A27" s="5" t="s">
        <v>889</v>
      </c>
      <c r="B27" s="5" t="n">
        <v>1</v>
      </c>
      <c r="C27" s="5" t="s">
        <v>464</v>
      </c>
      <c r="D27" s="5" t="s">
        <v>465</v>
      </c>
      <c r="E27" s="5" t="n">
        <v>2092</v>
      </c>
      <c r="F27" s="5" t="n">
        <v>2092</v>
      </c>
      <c r="G27" s="5" t="s">
        <v>466</v>
      </c>
      <c r="H27" s="7" t="n">
        <v>38</v>
      </c>
      <c r="I27" s="5" t="n">
        <f aca="false">E27-F27</f>
        <v>0</v>
      </c>
      <c r="J27" s="7" t="n">
        <f aca="false">F27*H27</f>
        <v>79496</v>
      </c>
      <c r="K27" s="7" t="n">
        <f aca="false">E27*H27</f>
        <v>79496</v>
      </c>
    </row>
    <row r="28" customFormat="false" ht="15" hidden="false" customHeight="false" outlineLevel="0" collapsed="false">
      <c r="A28" s="5" t="s">
        <v>892</v>
      </c>
      <c r="B28" s="5" t="n">
        <v>1</v>
      </c>
      <c r="C28" s="5" t="s">
        <v>480</v>
      </c>
      <c r="D28" s="5" t="s">
        <v>481</v>
      </c>
      <c r="E28" s="5" t="n">
        <v>2140</v>
      </c>
      <c r="F28" s="5" t="n">
        <v>2140</v>
      </c>
      <c r="G28" s="5" t="s">
        <v>466</v>
      </c>
      <c r="H28" s="7" t="n">
        <v>165</v>
      </c>
      <c r="I28" s="5" t="n">
        <f aca="false">E28-F28</f>
        <v>0</v>
      </c>
      <c r="J28" s="7" t="n">
        <f aca="false">F28*H28</f>
        <v>353100</v>
      </c>
      <c r="K28" s="7" t="n">
        <f aca="false">E28*H28</f>
        <v>353100</v>
      </c>
    </row>
    <row r="29" customFormat="false" ht="15" hidden="false" customHeight="false" outlineLevel="0" collapsed="false">
      <c r="A29" s="5" t="s">
        <v>892</v>
      </c>
      <c r="B29" s="5" t="n">
        <v>2</v>
      </c>
      <c r="C29" s="5" t="s">
        <v>484</v>
      </c>
      <c r="D29" s="5" t="s">
        <v>485</v>
      </c>
      <c r="E29" s="5" t="n">
        <v>420</v>
      </c>
      <c r="F29" s="5" t="n">
        <v>420</v>
      </c>
      <c r="G29" s="5" t="s">
        <v>486</v>
      </c>
      <c r="H29" s="7" t="n">
        <v>120</v>
      </c>
      <c r="I29" s="5" t="n">
        <f aca="false">E29-F29</f>
        <v>0</v>
      </c>
      <c r="J29" s="7" t="n">
        <f aca="false">F29*H29</f>
        <v>50400</v>
      </c>
      <c r="K29" s="7" t="n">
        <f aca="false">E29*H29</f>
        <v>50400</v>
      </c>
    </row>
    <row r="30" customFormat="false" ht="15" hidden="false" customHeight="false" outlineLevel="0" collapsed="false">
      <c r="A30" s="5" t="s">
        <v>895</v>
      </c>
      <c r="B30" s="5" t="n">
        <v>1</v>
      </c>
      <c r="C30" s="5" t="s">
        <v>472</v>
      </c>
      <c r="D30" s="5" t="s">
        <v>473</v>
      </c>
      <c r="E30" s="5" t="n">
        <v>10</v>
      </c>
      <c r="F30" s="5" t="n">
        <v>0</v>
      </c>
      <c r="G30" s="5" t="s">
        <v>469</v>
      </c>
      <c r="H30" s="7" t="n">
        <v>42000</v>
      </c>
      <c r="I30" s="5" t="n">
        <f aca="false">E30-F30</f>
        <v>10</v>
      </c>
      <c r="J30" s="7" t="n">
        <f aca="false">F30*H30</f>
        <v>0</v>
      </c>
      <c r="K30" s="7" t="n">
        <f aca="false">E30*H30</f>
        <v>420000</v>
      </c>
    </row>
    <row r="31" customFormat="false" ht="15" hidden="false" customHeight="false" outlineLevel="0" collapsed="false">
      <c r="A31" s="5" t="s">
        <v>898</v>
      </c>
      <c r="B31" s="5" t="n">
        <v>1</v>
      </c>
      <c r="C31" s="5" t="s">
        <v>474</v>
      </c>
      <c r="D31" s="5" t="s">
        <v>475</v>
      </c>
      <c r="E31" s="5" t="n">
        <v>1406</v>
      </c>
      <c r="F31" s="5" t="n">
        <v>0</v>
      </c>
      <c r="G31" s="5" t="s">
        <v>466</v>
      </c>
      <c r="H31" s="7" t="n">
        <v>145</v>
      </c>
      <c r="I31" s="5" t="n">
        <f aca="false">E31-F31</f>
        <v>1406</v>
      </c>
      <c r="J31" s="7" t="n">
        <f aca="false">F31*H31</f>
        <v>0</v>
      </c>
      <c r="K31" s="7" t="n">
        <f aca="false">E31*H31</f>
        <v>203870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12" min="9" style="0" width="13"/>
    <col collapsed="false" customWidth="true" hidden="false" outlineLevel="0" max="13" min="13" style="0" width="19"/>
    <col collapsed="false" customWidth="true" hidden="false" outlineLevel="0" max="14" min="14" style="0" width="24"/>
    <col collapsed="false" customWidth="true" hidden="false" outlineLevel="0" max="15" min="15" style="0" width="27"/>
    <col collapsed="false" customWidth="true" hidden="false" outlineLevel="0" max="16" min="16" style="0" width="16"/>
  </cols>
  <sheetData>
    <row r="1" customFormat="false" ht="15" hidden="false" customHeight="false" outlineLevel="0" collapsed="false">
      <c r="A1" s="11" t="s">
        <v>904</v>
      </c>
    </row>
    <row r="2" customFormat="false" ht="15" hidden="false" customHeight="false" outlineLevel="0" collapsed="false">
      <c r="A2" s="12" t="s">
        <v>905</v>
      </c>
    </row>
    <row r="3" customFormat="false" ht="31.5" hidden="false" customHeight="true" outlineLevel="0" collapsed="false">
      <c r="A3" s="4" t="s">
        <v>906</v>
      </c>
      <c r="B3" s="4" t="s">
        <v>907</v>
      </c>
      <c r="C3" s="4" t="s">
        <v>182</v>
      </c>
      <c r="D3" s="4" t="s">
        <v>133</v>
      </c>
      <c r="E3" s="4" t="s">
        <v>808</v>
      </c>
      <c r="F3" s="4" t="s">
        <v>908</v>
      </c>
      <c r="G3" s="4" t="s">
        <v>909</v>
      </c>
      <c r="H3" s="4" t="s">
        <v>910</v>
      </c>
      <c r="I3" s="4" t="s">
        <v>720</v>
      </c>
      <c r="J3" s="4" t="s">
        <v>721</v>
      </c>
      <c r="K3" s="4" t="s">
        <v>722</v>
      </c>
      <c r="L3" s="4" t="s">
        <v>723</v>
      </c>
      <c r="M3" s="4" t="s">
        <v>911</v>
      </c>
      <c r="N3" s="4" t="s">
        <v>725</v>
      </c>
      <c r="O3" s="4" t="s">
        <v>36</v>
      </c>
      <c r="P3" s="4" t="s">
        <v>726</v>
      </c>
    </row>
    <row r="4" customFormat="false" ht="15" hidden="false" customHeight="false" outlineLevel="0" collapsed="false">
      <c r="A4" s="5" t="s">
        <v>829</v>
      </c>
      <c r="B4" s="10" t="n">
        <v>46181</v>
      </c>
      <c r="C4" s="5" t="s">
        <v>239</v>
      </c>
      <c r="D4" s="5" t="s">
        <v>153</v>
      </c>
      <c r="E4" s="5" t="s">
        <v>154</v>
      </c>
      <c r="F4" s="5" t="s">
        <v>826</v>
      </c>
      <c r="G4" s="5" t="s">
        <v>828</v>
      </c>
      <c r="H4" s="5" t="s">
        <v>912</v>
      </c>
      <c r="I4" s="7" t="n">
        <v>102828</v>
      </c>
      <c r="J4" s="7" t="n">
        <v>14395.92</v>
      </c>
      <c r="K4" s="7" t="n">
        <f aca="false">I4+J4</f>
        <v>117223.92</v>
      </c>
      <c r="L4" s="10" t="n">
        <v>46211</v>
      </c>
      <c r="M4" s="7" t="n">
        <f aca="false">SUMIFS('Customer and Supplier Returns'!$S$2:$S$12,'Customer and Supplier Returns'!$G$2:$G$12,A4,'Customer and Supplier Returns'!$B$2:$B$12,"Supplier return")</f>
        <v>0</v>
      </c>
      <c r="N4" s="7" t="n">
        <f aca="false">SUMIFS('Vendor Bills and Payments'!$F$37:$F$54,'Vendor Bills and Payments'!$D$37:$D$54,A4)</f>
        <v>117223.92</v>
      </c>
      <c r="O4" s="7" t="n">
        <f aca="false">K4-M4-N4</f>
        <v>0</v>
      </c>
      <c r="P4" s="5" t="str">
        <f aca="false">IF(ROUND(O4,2)=0,"Paid",IF(L4&lt;DATE(2026,9,30),"Overdue","Open"))</f>
        <v>Paid</v>
      </c>
    </row>
    <row r="5" customFormat="false" ht="15" hidden="false" customHeight="false" outlineLevel="0" collapsed="false">
      <c r="A5" s="5" t="s">
        <v>818</v>
      </c>
      <c r="B5" s="10" t="n">
        <v>46182</v>
      </c>
      <c r="C5" s="5" t="s">
        <v>239</v>
      </c>
      <c r="D5" s="5" t="s">
        <v>138</v>
      </c>
      <c r="E5" s="5" t="s">
        <v>139</v>
      </c>
      <c r="F5" s="5" t="s">
        <v>814</v>
      </c>
      <c r="G5" s="5" t="s">
        <v>817</v>
      </c>
      <c r="H5" s="5" t="s">
        <v>913</v>
      </c>
      <c r="I5" s="7" t="n">
        <v>378000</v>
      </c>
      <c r="J5" s="7" t="n">
        <v>52920</v>
      </c>
      <c r="K5" s="7" t="n">
        <f aca="false">I5+J5</f>
        <v>430920</v>
      </c>
      <c r="L5" s="10" t="n">
        <v>46242</v>
      </c>
      <c r="M5" s="7" t="n">
        <f aca="false">SUMIFS('Customer and Supplier Returns'!$S$2:$S$12,'Customer and Supplier Returns'!$G$2:$G$12,A5,'Customer and Supplier Returns'!$B$2:$B$12,"Supplier return")</f>
        <v>0</v>
      </c>
      <c r="N5" s="7" t="n">
        <f aca="false">SUMIFS('Vendor Bills and Payments'!$F$37:$F$54,'Vendor Bills and Payments'!$D$37:$D$54,A5)</f>
        <v>430920</v>
      </c>
      <c r="O5" s="7" t="n">
        <f aca="false">K5-M5-N5</f>
        <v>0</v>
      </c>
      <c r="P5" s="5" t="str">
        <f aca="false">IF(ROUND(O5,2)=0,"Paid",IF(L5&lt;DATE(2026,9,30),"Overdue","Open"))</f>
        <v>Paid</v>
      </c>
    </row>
    <row r="6" customFormat="false" ht="15" hidden="false" customHeight="false" outlineLevel="0" collapsed="false">
      <c r="A6" s="5" t="s">
        <v>832</v>
      </c>
      <c r="B6" s="10" t="n">
        <v>46184</v>
      </c>
      <c r="C6" s="5" t="s">
        <v>239</v>
      </c>
      <c r="D6" s="5" t="s">
        <v>161</v>
      </c>
      <c r="E6" s="5" t="s">
        <v>162</v>
      </c>
      <c r="F6" s="5" t="s">
        <v>830</v>
      </c>
      <c r="G6" s="5" t="s">
        <v>831</v>
      </c>
      <c r="H6" s="5" t="s">
        <v>914</v>
      </c>
      <c r="I6" s="7" t="n">
        <v>51240</v>
      </c>
      <c r="J6" s="7" t="n">
        <v>7173.6</v>
      </c>
      <c r="K6" s="7" t="n">
        <f aca="false">I6+J6</f>
        <v>58413.6</v>
      </c>
      <c r="L6" s="10" t="n">
        <v>46214</v>
      </c>
      <c r="M6" s="7" t="n">
        <f aca="false">SUMIFS('Customer and Supplier Returns'!$S$2:$S$12,'Customer and Supplier Returns'!$G$2:$G$12,A6,'Customer and Supplier Returns'!$B$2:$B$12,"Supplier return")</f>
        <v>0</v>
      </c>
      <c r="N6" s="7" t="n">
        <f aca="false">SUMIFS('Vendor Bills and Payments'!$F$37:$F$54,'Vendor Bills and Payments'!$D$37:$D$54,A6)</f>
        <v>58413.6</v>
      </c>
      <c r="O6" s="7" t="n">
        <f aca="false">K6-M6-N6</f>
        <v>0</v>
      </c>
      <c r="P6" s="5" t="str">
        <f aca="false">IF(ROUND(O6,2)=0,"Paid",IF(L6&lt;DATE(2026,9,30),"Overdue","Open"))</f>
        <v>Paid</v>
      </c>
    </row>
    <row r="7" customFormat="false" ht="15" hidden="false" customHeight="false" outlineLevel="0" collapsed="false">
      <c r="A7" s="5" t="s">
        <v>822</v>
      </c>
      <c r="B7" s="10" t="n">
        <v>46189</v>
      </c>
      <c r="C7" s="5" t="s">
        <v>239</v>
      </c>
      <c r="D7" s="5" t="s">
        <v>138</v>
      </c>
      <c r="E7" s="5" t="s">
        <v>139</v>
      </c>
      <c r="F7" s="5" t="s">
        <v>820</v>
      </c>
      <c r="G7" s="5" t="s">
        <v>821</v>
      </c>
      <c r="H7" s="5" t="s">
        <v>915</v>
      </c>
      <c r="I7" s="7" t="n">
        <v>252000</v>
      </c>
      <c r="J7" s="7" t="n">
        <v>35280</v>
      </c>
      <c r="K7" s="7" t="n">
        <f aca="false">I7+J7</f>
        <v>287280</v>
      </c>
      <c r="L7" s="10" t="n">
        <v>46249</v>
      </c>
      <c r="M7" s="7" t="n">
        <f aca="false">SUMIFS('Customer and Supplier Returns'!$S$2:$S$12,'Customer and Supplier Returns'!$G$2:$G$12,A7,'Customer and Supplier Returns'!$B$2:$B$12,"Supplier return")</f>
        <v>0</v>
      </c>
      <c r="N7" s="7" t="n">
        <f aca="false">SUMIFS('Vendor Bills and Payments'!$F$37:$F$54,'Vendor Bills and Payments'!$D$37:$D$54,A7)</f>
        <v>287280</v>
      </c>
      <c r="O7" s="7" t="n">
        <f aca="false">K7-M7-N7</f>
        <v>0</v>
      </c>
      <c r="P7" s="5" t="str">
        <f aca="false">IF(ROUND(O7,2)=0,"Paid",IF(L7&lt;DATE(2026,9,30),"Overdue","Open"))</f>
        <v>Paid</v>
      </c>
    </row>
    <row r="8" customFormat="false" ht="15" hidden="false" customHeight="false" outlineLevel="0" collapsed="false">
      <c r="A8" s="5" t="s">
        <v>835</v>
      </c>
      <c r="B8" s="10" t="n">
        <v>46192</v>
      </c>
      <c r="C8" s="5" t="s">
        <v>239</v>
      </c>
      <c r="D8" s="5" t="s">
        <v>153</v>
      </c>
      <c r="E8" s="5" t="s">
        <v>154</v>
      </c>
      <c r="F8" s="5" t="s">
        <v>833</v>
      </c>
      <c r="G8" s="5" t="s">
        <v>834</v>
      </c>
      <c r="H8" s="5" t="s">
        <v>916</v>
      </c>
      <c r="I8" s="7" t="n">
        <v>89205</v>
      </c>
      <c r="J8" s="7" t="n">
        <v>12488.7</v>
      </c>
      <c r="K8" s="7" t="n">
        <f aca="false">I8+J8</f>
        <v>101693.7</v>
      </c>
      <c r="L8" s="10" t="n">
        <v>46222</v>
      </c>
      <c r="M8" s="7" t="n">
        <f aca="false">SUMIFS('Customer and Supplier Returns'!$S$2:$S$12,'Customer and Supplier Returns'!$G$2:$G$12,A8,'Customer and Supplier Returns'!$B$2:$B$12,"Supplier return")</f>
        <v>0</v>
      </c>
      <c r="N8" s="7" t="n">
        <f aca="false">SUMIFS('Vendor Bills and Payments'!$F$37:$F$54,'Vendor Bills and Payments'!$D$37:$D$54,A8)</f>
        <v>101693.7</v>
      </c>
      <c r="O8" s="7" t="n">
        <f aca="false">K8-M8-N8</f>
        <v>0</v>
      </c>
      <c r="P8" s="5" t="str">
        <f aca="false">IF(ROUND(O8,2)=0,"Paid",IF(L8&lt;DATE(2026,9,30),"Overdue","Open"))</f>
        <v>Paid</v>
      </c>
    </row>
    <row r="9" customFormat="false" ht="15" hidden="false" customHeight="false" outlineLevel="0" collapsed="false">
      <c r="A9" s="5" t="s">
        <v>825</v>
      </c>
      <c r="B9" s="10" t="n">
        <v>46193</v>
      </c>
      <c r="C9" s="5" t="s">
        <v>239</v>
      </c>
      <c r="D9" s="5" t="s">
        <v>138</v>
      </c>
      <c r="E9" s="5" t="s">
        <v>139</v>
      </c>
      <c r="F9" s="5" t="s">
        <v>823</v>
      </c>
      <c r="G9" s="5" t="s">
        <v>824</v>
      </c>
      <c r="H9" s="5" t="s">
        <v>917</v>
      </c>
      <c r="I9" s="7" t="n">
        <v>333000</v>
      </c>
      <c r="J9" s="7" t="n">
        <v>46620</v>
      </c>
      <c r="K9" s="7" t="n">
        <f aca="false">I9+J9</f>
        <v>379620</v>
      </c>
      <c r="L9" s="10" t="n">
        <v>46253</v>
      </c>
      <c r="M9" s="7" t="n">
        <f aca="false">SUMIFS('Customer and Supplier Returns'!$S$2:$S$12,'Customer and Supplier Returns'!$G$2:$G$12,A9,'Customer and Supplier Returns'!$B$2:$B$12,"Supplier return")</f>
        <v>0</v>
      </c>
      <c r="N9" s="7" t="n">
        <f aca="false">SUMIFS('Vendor Bills and Payments'!$F$37:$F$54,'Vendor Bills and Payments'!$D$37:$D$54,A9)</f>
        <v>379620</v>
      </c>
      <c r="O9" s="7" t="n">
        <f aca="false">K9-M9-N9</f>
        <v>0</v>
      </c>
      <c r="P9" s="5" t="str">
        <f aca="false">IF(ROUND(O9,2)=0,"Paid",IF(L9&lt;DATE(2026,9,30),"Overdue","Open"))</f>
        <v>Paid</v>
      </c>
    </row>
    <row r="10" customFormat="false" ht="15" hidden="false" customHeight="false" outlineLevel="0" collapsed="false">
      <c r="A10" s="5" t="s">
        <v>845</v>
      </c>
      <c r="B10" s="10" t="n">
        <v>46197</v>
      </c>
      <c r="C10" s="5" t="s">
        <v>239</v>
      </c>
      <c r="D10" s="5" t="s">
        <v>161</v>
      </c>
      <c r="E10" s="5" t="s">
        <v>162</v>
      </c>
      <c r="F10" s="5" t="s">
        <v>843</v>
      </c>
      <c r="G10" s="5" t="s">
        <v>844</v>
      </c>
      <c r="H10" s="5" t="s">
        <v>918</v>
      </c>
      <c r="I10" s="7" t="n">
        <v>302940</v>
      </c>
      <c r="J10" s="7" t="n">
        <v>42411.6</v>
      </c>
      <c r="K10" s="7" t="n">
        <f aca="false">I10+J10</f>
        <v>345351.6</v>
      </c>
      <c r="L10" s="10" t="n">
        <v>46227</v>
      </c>
      <c r="M10" s="7" t="n">
        <f aca="false">SUMIFS('Customer and Supplier Returns'!$S$2:$S$12,'Customer and Supplier Returns'!$G$2:$G$12,A10,'Customer and Supplier Returns'!$B$2:$B$12,"Supplier return")</f>
        <v>0</v>
      </c>
      <c r="N10" s="7" t="n">
        <f aca="false">SUMIFS('Vendor Bills and Payments'!$F$37:$F$54,'Vendor Bills and Payments'!$D$37:$D$54,A10)</f>
        <v>345351.6</v>
      </c>
      <c r="O10" s="7" t="n">
        <f aca="false">K10-M10-N10</f>
        <v>0</v>
      </c>
      <c r="P10" s="5" t="str">
        <f aca="false">IF(ROUND(O10,2)=0,"Paid",IF(L10&lt;DATE(2026,9,30),"Overdue","Open"))</f>
        <v>Paid</v>
      </c>
    </row>
    <row r="11" customFormat="false" ht="15" hidden="false" customHeight="false" outlineLevel="0" collapsed="false">
      <c r="A11" s="5" t="s">
        <v>842</v>
      </c>
      <c r="B11" s="10" t="n">
        <v>46202</v>
      </c>
      <c r="C11" s="5" t="s">
        <v>239</v>
      </c>
      <c r="D11" s="5" t="s">
        <v>161</v>
      </c>
      <c r="E11" s="5" t="s">
        <v>162</v>
      </c>
      <c r="F11" s="5" t="s">
        <v>840</v>
      </c>
      <c r="G11" s="5" t="s">
        <v>841</v>
      </c>
      <c r="H11" s="5" t="s">
        <v>919</v>
      </c>
      <c r="I11" s="7" t="n">
        <v>247500</v>
      </c>
      <c r="J11" s="7" t="n">
        <v>34650</v>
      </c>
      <c r="K11" s="7" t="n">
        <f aca="false">I11+J11</f>
        <v>282150</v>
      </c>
      <c r="L11" s="10" t="n">
        <v>46232</v>
      </c>
      <c r="M11" s="7" t="n">
        <f aca="false">SUMIFS('Customer and Supplier Returns'!$S$2:$S$12,'Customer and Supplier Returns'!$G$2:$G$12,A11,'Customer and Supplier Returns'!$B$2:$B$12,"Supplier return")</f>
        <v>31350</v>
      </c>
      <c r="N11" s="7" t="n">
        <f aca="false">SUMIFS('Vendor Bills and Payments'!$F$37:$F$54,'Vendor Bills and Payments'!$D$37:$D$54,A11)</f>
        <v>250800</v>
      </c>
      <c r="O11" s="7" t="n">
        <f aca="false">K11-M11-N11</f>
        <v>0</v>
      </c>
      <c r="P11" s="5" t="str">
        <f aca="false">IF(ROUND(O11,2)=0,"Paid",IF(L11&lt;DATE(2026,9,30),"Overdue","Open"))</f>
        <v>Paid</v>
      </c>
    </row>
    <row r="12" customFormat="false" ht="15" hidden="false" customHeight="false" outlineLevel="0" collapsed="false">
      <c r="A12" s="5" t="s">
        <v>838</v>
      </c>
      <c r="B12" s="10" t="n">
        <v>46207</v>
      </c>
      <c r="C12" s="5" t="s">
        <v>288</v>
      </c>
      <c r="D12" s="5" t="s">
        <v>147</v>
      </c>
      <c r="E12" s="5" t="s">
        <v>148</v>
      </c>
      <c r="F12" s="5" t="s">
        <v>836</v>
      </c>
      <c r="G12" s="5" t="s">
        <v>837</v>
      </c>
      <c r="H12" s="5" t="s">
        <v>920</v>
      </c>
      <c r="I12" s="7" t="n">
        <v>18500000</v>
      </c>
      <c r="J12" s="7" t="n">
        <v>2590000</v>
      </c>
      <c r="K12" s="7" t="n">
        <f aca="false">I12+J12</f>
        <v>21090000</v>
      </c>
      <c r="L12" s="10" t="n">
        <v>46267</v>
      </c>
      <c r="M12" s="7" t="n">
        <f aca="false">SUMIFS('Customer and Supplier Returns'!$S$2:$S$12,'Customer and Supplier Returns'!$G$2:$G$12,A12,'Customer and Supplier Returns'!$B$2:$B$12,"Supplier return")</f>
        <v>0</v>
      </c>
      <c r="N12" s="7" t="n">
        <f aca="false">SUMIFS('Vendor Bills and Payments'!$F$37:$F$54,'Vendor Bills and Payments'!$D$37:$D$54,A12)</f>
        <v>21090000</v>
      </c>
      <c r="O12" s="7" t="n">
        <f aca="false">K12-M12-N12</f>
        <v>0</v>
      </c>
      <c r="P12" s="5" t="str">
        <f aca="false">IF(ROUND(O12,2)=0,"Paid",IF(L12&lt;DATE(2026,9,30),"Overdue","Open"))</f>
        <v>Paid</v>
      </c>
    </row>
    <row r="13" customFormat="false" ht="15" hidden="false" customHeight="false" outlineLevel="0" collapsed="false">
      <c r="A13" s="5" t="s">
        <v>851</v>
      </c>
      <c r="B13" s="10" t="n">
        <v>46208</v>
      </c>
      <c r="C13" s="5" t="s">
        <v>288</v>
      </c>
      <c r="D13" s="5" t="s">
        <v>153</v>
      </c>
      <c r="E13" s="5" t="s">
        <v>154</v>
      </c>
      <c r="F13" s="5" t="s">
        <v>849</v>
      </c>
      <c r="G13" s="5" t="s">
        <v>850</v>
      </c>
      <c r="H13" s="5" t="s">
        <v>921</v>
      </c>
      <c r="I13" s="7" t="n">
        <v>189515</v>
      </c>
      <c r="J13" s="7" t="n">
        <v>26532.1</v>
      </c>
      <c r="K13" s="7" t="n">
        <f aca="false">I13+J13</f>
        <v>216047.1</v>
      </c>
      <c r="L13" s="10" t="n">
        <v>46238</v>
      </c>
      <c r="M13" s="7" t="n">
        <f aca="false">SUMIFS('Customer and Supplier Returns'!$S$2:$S$12,'Customer and Supplier Returns'!$G$2:$G$12,A13,'Customer and Supplier Returns'!$B$2:$B$12,"Supplier return")</f>
        <v>0</v>
      </c>
      <c r="N13" s="7" t="n">
        <f aca="false">SUMIFS('Vendor Bills and Payments'!$F$37:$F$54,'Vendor Bills and Payments'!$D$37:$D$54,A13)</f>
        <v>216047.1</v>
      </c>
      <c r="O13" s="7" t="n">
        <f aca="false">K13-M13-N13</f>
        <v>0</v>
      </c>
      <c r="P13" s="5" t="str">
        <f aca="false">IF(ROUND(O13,2)=0,"Paid",IF(L13&lt;DATE(2026,9,30),"Overdue","Open"))</f>
        <v>Paid</v>
      </c>
    </row>
    <row r="14" customFormat="false" ht="15" hidden="false" customHeight="false" outlineLevel="0" collapsed="false">
      <c r="A14" s="5" t="s">
        <v>922</v>
      </c>
      <c r="B14" s="10" t="n">
        <v>46219</v>
      </c>
      <c r="C14" s="5" t="s">
        <v>288</v>
      </c>
      <c r="D14" s="5" t="s">
        <v>168</v>
      </c>
      <c r="E14" s="5" t="s">
        <v>169</v>
      </c>
      <c r="F14" s="5" t="s">
        <v>846</v>
      </c>
      <c r="G14" s="5" t="s">
        <v>923</v>
      </c>
      <c r="H14" s="5" t="s">
        <v>924</v>
      </c>
      <c r="I14" s="7" t="n">
        <v>113600</v>
      </c>
      <c r="J14" s="7" t="n">
        <v>15904</v>
      </c>
      <c r="K14" s="7" t="n">
        <f aca="false">I14+J14</f>
        <v>129504</v>
      </c>
      <c r="L14" s="10" t="n">
        <v>46264</v>
      </c>
      <c r="M14" s="7" t="n">
        <f aca="false">SUMIFS('Customer and Supplier Returns'!$S$2:$S$12,'Customer and Supplier Returns'!$G$2:$G$12,A14,'Customer and Supplier Returns'!$B$2:$B$12,"Supplier return")</f>
        <v>0</v>
      </c>
      <c r="N14" s="7" t="n">
        <f aca="false">SUMIFS('Vendor Bills and Payments'!$F$37:$F$54,'Vendor Bills and Payments'!$D$37:$D$54,A14)</f>
        <v>129504</v>
      </c>
      <c r="O14" s="7" t="n">
        <f aca="false">K14-M14-N14</f>
        <v>0</v>
      </c>
      <c r="P14" s="5" t="str">
        <f aca="false">IF(ROUND(O14,2)=0,"Paid",IF(L14&lt;DATE(2026,9,30),"Overdue","Open"))</f>
        <v>Paid</v>
      </c>
    </row>
    <row r="15" customFormat="false" ht="15" hidden="false" customHeight="false" outlineLevel="0" collapsed="false">
      <c r="A15" s="5" t="s">
        <v>857</v>
      </c>
      <c r="B15" s="10" t="n">
        <v>46225</v>
      </c>
      <c r="C15" s="5" t="s">
        <v>288</v>
      </c>
      <c r="D15" s="5" t="s">
        <v>161</v>
      </c>
      <c r="E15" s="5" t="s">
        <v>162</v>
      </c>
      <c r="F15" s="5" t="s">
        <v>855</v>
      </c>
      <c r="G15" s="5" t="s">
        <v>856</v>
      </c>
      <c r="H15" s="5" t="s">
        <v>925</v>
      </c>
      <c r="I15" s="7" t="n">
        <v>212520</v>
      </c>
      <c r="J15" s="7" t="n">
        <v>29752.8</v>
      </c>
      <c r="K15" s="7" t="n">
        <f aca="false">I15+J15</f>
        <v>242272.8</v>
      </c>
      <c r="L15" s="10" t="n">
        <v>46255</v>
      </c>
      <c r="M15" s="7" t="n">
        <f aca="false">SUMIFS('Customer and Supplier Returns'!$S$2:$S$12,'Customer and Supplier Returns'!$G$2:$G$12,A15,'Customer and Supplier Returns'!$B$2:$B$12,"Supplier return")</f>
        <v>0</v>
      </c>
      <c r="N15" s="7" t="n">
        <f aca="false">SUMIFS('Vendor Bills and Payments'!$F$37:$F$54,'Vendor Bills and Payments'!$D$37:$D$54,A15)</f>
        <v>242272.8</v>
      </c>
      <c r="O15" s="7" t="n">
        <f aca="false">K15-M15-N15</f>
        <v>0</v>
      </c>
      <c r="P15" s="5" t="str">
        <f aca="false">IF(ROUND(O15,2)=0,"Paid",IF(L15&lt;DATE(2026,9,30),"Overdue","Open"))</f>
        <v>Paid</v>
      </c>
    </row>
    <row r="16" customFormat="false" ht="15" hidden="false" customHeight="false" outlineLevel="0" collapsed="false">
      <c r="A16" s="5" t="s">
        <v>926</v>
      </c>
      <c r="B16" s="10" t="n">
        <v>46226</v>
      </c>
      <c r="C16" s="5" t="s">
        <v>288</v>
      </c>
      <c r="D16" s="5" t="s">
        <v>168</v>
      </c>
      <c r="E16" s="5" t="s">
        <v>169</v>
      </c>
      <c r="F16" s="5" t="s">
        <v>846</v>
      </c>
      <c r="G16" s="5" t="s">
        <v>927</v>
      </c>
      <c r="H16" s="5" t="s">
        <v>928</v>
      </c>
      <c r="I16" s="7" t="n">
        <v>85200</v>
      </c>
      <c r="J16" s="7" t="n">
        <v>11928</v>
      </c>
      <c r="K16" s="7" t="n">
        <f aca="false">I16+J16</f>
        <v>97128</v>
      </c>
      <c r="L16" s="10" t="n">
        <v>46271</v>
      </c>
      <c r="M16" s="7" t="n">
        <f aca="false">SUMIFS('Customer and Supplier Returns'!$S$2:$S$12,'Customer and Supplier Returns'!$G$2:$G$12,A16,'Customer and Supplier Returns'!$B$2:$B$12,"Supplier return")</f>
        <v>0</v>
      </c>
      <c r="N16" s="7" t="n">
        <f aca="false">SUMIFS('Vendor Bills and Payments'!$F$37:$F$54,'Vendor Bills and Payments'!$D$37:$D$54,A16)</f>
        <v>97128</v>
      </c>
      <c r="O16" s="7" t="n">
        <f aca="false">K16-M16-N16</f>
        <v>0</v>
      </c>
      <c r="P16" s="5" t="str">
        <f aca="false">IF(ROUND(O16,2)=0,"Paid",IF(L16&lt;DATE(2026,9,30),"Overdue","Open"))</f>
        <v>Paid</v>
      </c>
    </row>
    <row r="17" customFormat="false" ht="15" hidden="false" customHeight="false" outlineLevel="0" collapsed="false">
      <c r="A17" s="5" t="s">
        <v>854</v>
      </c>
      <c r="B17" s="10" t="n">
        <v>46230</v>
      </c>
      <c r="C17" s="5" t="s">
        <v>288</v>
      </c>
      <c r="D17" s="5" t="s">
        <v>138</v>
      </c>
      <c r="E17" s="5" t="s">
        <v>139</v>
      </c>
      <c r="F17" s="5" t="s">
        <v>852</v>
      </c>
      <c r="G17" s="5" t="s">
        <v>853</v>
      </c>
      <c r="H17" s="5" t="s">
        <v>929</v>
      </c>
      <c r="I17" s="7" t="n">
        <v>490000</v>
      </c>
      <c r="J17" s="7" t="n">
        <v>68600</v>
      </c>
      <c r="K17" s="7" t="n">
        <f aca="false">I17+J17</f>
        <v>558600</v>
      </c>
      <c r="L17" s="10" t="n">
        <v>46290</v>
      </c>
      <c r="M17" s="7" t="n">
        <f aca="false">SUMIFS('Customer and Supplier Returns'!$S$2:$S$12,'Customer and Supplier Returns'!$G$2:$G$12,A17,'Customer and Supplier Returns'!$B$2:$B$12,"Supplier return")</f>
        <v>0</v>
      </c>
      <c r="N17" s="7" t="n">
        <f aca="false">SUMIFS('Vendor Bills and Payments'!$F$37:$F$54,'Vendor Bills and Payments'!$D$37:$D$54,A17)</f>
        <v>558600</v>
      </c>
      <c r="O17" s="7" t="n">
        <f aca="false">K17-M17-N17</f>
        <v>0</v>
      </c>
      <c r="P17" s="5" t="str">
        <f aca="false">IF(ROUND(O17,2)=0,"Paid",IF(L17&lt;DATE(2026,9,30),"Overdue","Open"))</f>
        <v>Paid</v>
      </c>
    </row>
    <row r="18" customFormat="false" ht="15" hidden="false" customHeight="false" outlineLevel="0" collapsed="false">
      <c r="A18" s="5" t="s">
        <v>864</v>
      </c>
      <c r="B18" s="10" t="n">
        <v>46235</v>
      </c>
      <c r="C18" s="5" t="s">
        <v>346</v>
      </c>
      <c r="D18" s="5" t="s">
        <v>175</v>
      </c>
      <c r="E18" s="5" t="s">
        <v>176</v>
      </c>
      <c r="F18" s="5" t="s">
        <v>861</v>
      </c>
      <c r="G18" s="5" t="s">
        <v>863</v>
      </c>
      <c r="H18" s="5" t="s">
        <v>930</v>
      </c>
      <c r="I18" s="7" t="n">
        <v>129600</v>
      </c>
      <c r="J18" s="7" t="n">
        <v>18144</v>
      </c>
      <c r="K18" s="7" t="n">
        <f aca="false">I18+J18</f>
        <v>147744</v>
      </c>
      <c r="L18" s="10" t="n">
        <v>46265</v>
      </c>
      <c r="M18" s="7" t="n">
        <f aca="false">SUMIFS('Customer and Supplier Returns'!$S$2:$S$12,'Customer and Supplier Returns'!$G$2:$G$12,A18,'Customer and Supplier Returns'!$B$2:$B$12,"Supplier return")</f>
        <v>0</v>
      </c>
      <c r="N18" s="7" t="n">
        <f aca="false">SUMIFS('Vendor Bills and Payments'!$F$37:$F$54,'Vendor Bills and Payments'!$D$37:$D$54,A18)</f>
        <v>147744</v>
      </c>
      <c r="O18" s="7" t="n">
        <f aca="false">K18-M18-N18</f>
        <v>0</v>
      </c>
      <c r="P18" s="5" t="str">
        <f aca="false">IF(ROUND(O18,2)=0,"Paid",IF(L18&lt;DATE(2026,9,30),"Overdue","Open"))</f>
        <v>Paid</v>
      </c>
    </row>
    <row r="19" customFormat="false" ht="15" hidden="false" customHeight="false" outlineLevel="0" collapsed="false">
      <c r="A19" s="5" t="s">
        <v>931</v>
      </c>
      <c r="B19" s="10" t="n">
        <v>46237</v>
      </c>
      <c r="C19" s="5" t="s">
        <v>346</v>
      </c>
      <c r="D19" s="5" t="s">
        <v>153</v>
      </c>
      <c r="E19" s="5" t="s">
        <v>154</v>
      </c>
      <c r="F19" s="5" t="s">
        <v>865</v>
      </c>
      <c r="G19" s="5" t="s">
        <v>932</v>
      </c>
      <c r="H19" s="5" t="s">
        <v>933</v>
      </c>
      <c r="I19" s="7" t="n">
        <v>255570</v>
      </c>
      <c r="J19" s="7" t="n">
        <v>35779.8</v>
      </c>
      <c r="K19" s="7" t="n">
        <f aca="false">I19+J19</f>
        <v>291349.8</v>
      </c>
      <c r="L19" s="10" t="n">
        <v>46267</v>
      </c>
      <c r="M19" s="7" t="n">
        <f aca="false">SUMIFS('Customer and Supplier Returns'!$S$2:$S$12,'Customer and Supplier Returns'!$G$2:$G$12,A19,'Customer and Supplier Returns'!$B$2:$B$12,"Supplier return")</f>
        <v>0</v>
      </c>
      <c r="N19" s="7" t="n">
        <f aca="false">SUMIFS('Vendor Bills and Payments'!$F$37:$F$54,'Vendor Bills and Payments'!$D$37:$D$54,A19)</f>
        <v>291349.8</v>
      </c>
      <c r="O19" s="7" t="n">
        <f aca="false">K19-M19-N19</f>
        <v>0</v>
      </c>
      <c r="P19" s="5" t="str">
        <f aca="false">IF(ROUND(O19,2)=0,"Paid",IF(L19&lt;DATE(2026,9,30),"Overdue","Open"))</f>
        <v>Paid</v>
      </c>
    </row>
    <row r="20" customFormat="false" ht="15" hidden="false" customHeight="false" outlineLevel="0" collapsed="false">
      <c r="A20" s="5" t="s">
        <v>860</v>
      </c>
      <c r="B20" s="10" t="n">
        <v>46244</v>
      </c>
      <c r="C20" s="5" t="s">
        <v>346</v>
      </c>
      <c r="D20" s="5" t="s">
        <v>138</v>
      </c>
      <c r="E20" s="5" t="s">
        <v>139</v>
      </c>
      <c r="F20" s="5" t="s">
        <v>858</v>
      </c>
      <c r="G20" s="5" t="s">
        <v>859</v>
      </c>
      <c r="H20" s="5" t="s">
        <v>934</v>
      </c>
      <c r="I20" s="7" t="n">
        <v>277500</v>
      </c>
      <c r="J20" s="7" t="n">
        <v>38850</v>
      </c>
      <c r="K20" s="7" t="n">
        <f aca="false">I20+J20</f>
        <v>316350</v>
      </c>
      <c r="L20" s="10" t="n">
        <v>46304</v>
      </c>
      <c r="M20" s="7" t="n">
        <f aca="false">SUMIFS('Customer and Supplier Returns'!$S$2:$S$12,'Customer and Supplier Returns'!$G$2:$G$12,A20,'Customer and Supplier Returns'!$B$2:$B$12,"Supplier return")</f>
        <v>0</v>
      </c>
      <c r="N20" s="7" t="n">
        <f aca="false">SUMIFS('Vendor Bills and Payments'!$F$37:$F$54,'Vendor Bills and Payments'!$D$37:$D$54,A20)</f>
        <v>0</v>
      </c>
      <c r="O20" s="7" t="n">
        <f aca="false">K20-M20-N20</f>
        <v>316350</v>
      </c>
      <c r="P20" s="5" t="str">
        <f aca="false">IF(ROUND(O20,2)=0,"Paid",IF(L20&lt;DATE(2026,9,30),"Overdue","Open"))</f>
        <v>Open</v>
      </c>
    </row>
    <row r="21" customFormat="false" ht="15" hidden="false" customHeight="false" outlineLevel="0" collapsed="false">
      <c r="A21" s="5" t="s">
        <v>935</v>
      </c>
      <c r="B21" s="10" t="n">
        <v>46246</v>
      </c>
      <c r="C21" s="5" t="s">
        <v>346</v>
      </c>
      <c r="D21" s="5" t="s">
        <v>153</v>
      </c>
      <c r="E21" s="5" t="s">
        <v>154</v>
      </c>
      <c r="F21" s="5" t="s">
        <v>865</v>
      </c>
      <c r="G21" s="5" t="s">
        <v>936</v>
      </c>
      <c r="H21" s="5" t="s">
        <v>937</v>
      </c>
      <c r="I21" s="7" t="n">
        <v>170505</v>
      </c>
      <c r="J21" s="7" t="n">
        <v>23870.7</v>
      </c>
      <c r="K21" s="7" t="n">
        <f aca="false">I21+J21</f>
        <v>194375.7</v>
      </c>
      <c r="L21" s="10" t="n">
        <v>46276</v>
      </c>
      <c r="M21" s="7" t="n">
        <f aca="false">SUMIFS('Customer and Supplier Returns'!$S$2:$S$12,'Customer and Supplier Returns'!$G$2:$G$12,A21,'Customer and Supplier Returns'!$B$2:$B$12,"Supplier return")</f>
        <v>4132.5</v>
      </c>
      <c r="N21" s="7" t="n">
        <f aca="false">SUMIFS('Vendor Bills and Payments'!$F$37:$F$54,'Vendor Bills and Payments'!$D$37:$D$54,A21)</f>
        <v>190243.2</v>
      </c>
      <c r="O21" s="7" t="n">
        <f aca="false">K21-M21-N21</f>
        <v>0</v>
      </c>
      <c r="P21" s="5" t="str">
        <f aca="false">IF(ROUND(O21,2)=0,"Paid",IF(L21&lt;DATE(2026,9,30),"Overdue","Open"))</f>
        <v>Paid</v>
      </c>
    </row>
    <row r="22" customFormat="false" ht="15" hidden="false" customHeight="false" outlineLevel="0" collapsed="false">
      <c r="A22" s="5" t="s">
        <v>870</v>
      </c>
      <c r="B22" s="10" t="n">
        <v>46255</v>
      </c>
      <c r="C22" s="5" t="s">
        <v>346</v>
      </c>
      <c r="D22" s="5" t="s">
        <v>161</v>
      </c>
      <c r="E22" s="5" t="s">
        <v>162</v>
      </c>
      <c r="F22" s="5" t="s">
        <v>868</v>
      </c>
      <c r="G22" s="5" t="s">
        <v>869</v>
      </c>
      <c r="H22" s="5" t="s">
        <v>938</v>
      </c>
      <c r="I22" s="7" t="n">
        <v>340400</v>
      </c>
      <c r="J22" s="7" t="n">
        <v>47656</v>
      </c>
      <c r="K22" s="7" t="n">
        <f aca="false">I22+J22</f>
        <v>388056</v>
      </c>
      <c r="L22" s="10" t="n">
        <v>46285</v>
      </c>
      <c r="M22" s="7" t="n">
        <f aca="false">SUMIFS('Customer and Supplier Returns'!$S$2:$S$12,'Customer and Supplier Returns'!$G$2:$G$12,A22,'Customer and Supplier Returns'!$B$2:$B$12,"Supplier return")</f>
        <v>0</v>
      </c>
      <c r="N22" s="7" t="n">
        <f aca="false">SUMIFS('Vendor Bills and Payments'!$F$37:$F$54,'Vendor Bills and Payments'!$D$37:$D$54,A22)</f>
        <v>388056</v>
      </c>
      <c r="O22" s="7" t="n">
        <f aca="false">K22-M22-N22</f>
        <v>0</v>
      </c>
      <c r="P22" s="5" t="str">
        <f aca="false">IF(ROUND(O22,2)=0,"Paid",IF(L22&lt;DATE(2026,9,30),"Overdue","Open"))</f>
        <v>Paid</v>
      </c>
    </row>
    <row r="23" customFormat="false" ht="15" hidden="false" customHeight="false" outlineLevel="0" collapsed="false">
      <c r="A23" s="5" t="s">
        <v>876</v>
      </c>
      <c r="B23" s="10" t="n">
        <v>46267</v>
      </c>
      <c r="C23" s="5" t="s">
        <v>401</v>
      </c>
      <c r="D23" s="5" t="s">
        <v>153</v>
      </c>
      <c r="E23" s="5" t="s">
        <v>154</v>
      </c>
      <c r="F23" s="5" t="s">
        <v>874</v>
      </c>
      <c r="G23" s="5" t="s">
        <v>875</v>
      </c>
      <c r="H23" s="5" t="s">
        <v>939</v>
      </c>
      <c r="I23" s="7" t="n">
        <v>403000</v>
      </c>
      <c r="J23" s="7" t="n">
        <v>56420</v>
      </c>
      <c r="K23" s="7" t="n">
        <f aca="false">I23+J23</f>
        <v>459420</v>
      </c>
      <c r="L23" s="10" t="n">
        <v>46297</v>
      </c>
      <c r="M23" s="7" t="n">
        <f aca="false">SUMIFS('Customer and Supplier Returns'!$S$2:$S$12,'Customer and Supplier Returns'!$G$2:$G$12,A23,'Customer and Supplier Returns'!$B$2:$B$12,"Supplier return")</f>
        <v>0</v>
      </c>
      <c r="N23" s="7" t="n">
        <f aca="false">SUMIFS('Vendor Bills and Payments'!$F$37:$F$54,'Vendor Bills and Payments'!$D$37:$D$54,A23)</f>
        <v>0</v>
      </c>
      <c r="O23" s="7" t="n">
        <f aca="false">K23-M23-N23</f>
        <v>459420</v>
      </c>
      <c r="P23" s="5" t="str">
        <f aca="false">IF(ROUND(O23,2)=0,"Paid",IF(L23&lt;DATE(2026,9,30),"Overdue","Open"))</f>
        <v>Open</v>
      </c>
    </row>
    <row r="24" customFormat="false" ht="15" hidden="false" customHeight="false" outlineLevel="0" collapsed="false">
      <c r="A24" s="5" t="s">
        <v>882</v>
      </c>
      <c r="B24" s="10" t="n">
        <v>46270</v>
      </c>
      <c r="C24" s="5" t="s">
        <v>401</v>
      </c>
      <c r="D24" s="5" t="s">
        <v>175</v>
      </c>
      <c r="E24" s="5" t="s">
        <v>176</v>
      </c>
      <c r="F24" s="5" t="s">
        <v>880</v>
      </c>
      <c r="G24" s="5" t="s">
        <v>881</v>
      </c>
      <c r="H24" s="5" t="s">
        <v>940</v>
      </c>
      <c r="I24" s="7" t="n">
        <v>67500</v>
      </c>
      <c r="J24" s="7" t="n">
        <v>9450</v>
      </c>
      <c r="K24" s="7" t="n">
        <f aca="false">I24+J24</f>
        <v>76950</v>
      </c>
      <c r="L24" s="10" t="n">
        <v>46300</v>
      </c>
      <c r="M24" s="7" t="n">
        <f aca="false">SUMIFS('Customer and Supplier Returns'!$S$2:$S$12,'Customer and Supplier Returns'!$G$2:$G$12,A24,'Customer and Supplier Returns'!$B$2:$B$12,"Supplier return")</f>
        <v>0</v>
      </c>
      <c r="N24" s="7" t="n">
        <f aca="false">SUMIFS('Vendor Bills and Payments'!$F$37:$F$54,'Vendor Bills and Payments'!$D$37:$D$54,A24)</f>
        <v>0</v>
      </c>
      <c r="O24" s="7" t="n">
        <f aca="false">K24-M24-N24</f>
        <v>76950</v>
      </c>
      <c r="P24" s="5" t="str">
        <f aca="false">IF(ROUND(O24,2)=0,"Paid",IF(L24&lt;DATE(2026,9,30),"Overdue","Open"))</f>
        <v>Open</v>
      </c>
    </row>
    <row r="25" customFormat="false" ht="15" hidden="false" customHeight="false" outlineLevel="0" collapsed="false">
      <c r="A25" s="5" t="s">
        <v>941</v>
      </c>
      <c r="B25" s="10" t="n">
        <v>46273</v>
      </c>
      <c r="C25" s="5" t="s">
        <v>401</v>
      </c>
      <c r="D25" s="5" t="s">
        <v>175</v>
      </c>
      <c r="E25" s="5" t="s">
        <v>176</v>
      </c>
      <c r="F25" s="5" t="s">
        <v>883</v>
      </c>
      <c r="G25" s="5" t="s">
        <v>942</v>
      </c>
      <c r="H25" s="5" t="s">
        <v>943</v>
      </c>
      <c r="I25" s="7" t="n">
        <v>39560</v>
      </c>
      <c r="J25" s="7" t="n">
        <v>5538.4</v>
      </c>
      <c r="K25" s="7" t="n">
        <f aca="false">I25+J25</f>
        <v>45098.4</v>
      </c>
      <c r="L25" s="10" t="n">
        <v>46303</v>
      </c>
      <c r="M25" s="7" t="n">
        <f aca="false">SUMIFS('Customer and Supplier Returns'!$S$2:$S$12,'Customer and Supplier Returns'!$G$2:$G$12,A25,'Customer and Supplier Returns'!$B$2:$B$12,"Supplier return")</f>
        <v>0</v>
      </c>
      <c r="N25" s="7" t="n">
        <f aca="false">SUMIFS('Vendor Bills and Payments'!$F$37:$F$54,'Vendor Bills and Payments'!$D$37:$D$54,A25)</f>
        <v>0</v>
      </c>
      <c r="O25" s="7" t="n">
        <f aca="false">K25-M25-N25</f>
        <v>45098.4</v>
      </c>
      <c r="P25" s="5" t="str">
        <f aca="false">IF(ROUND(O25,2)=0,"Paid",IF(L25&lt;DATE(2026,9,30),"Overdue","Open"))</f>
        <v>Open</v>
      </c>
    </row>
    <row r="26" customFormat="false" ht="15" hidden="false" customHeight="false" outlineLevel="0" collapsed="false">
      <c r="A26" s="5" t="s">
        <v>873</v>
      </c>
      <c r="B26" s="10" t="n">
        <v>46274</v>
      </c>
      <c r="C26" s="5" t="s">
        <v>401</v>
      </c>
      <c r="D26" s="5" t="s">
        <v>138</v>
      </c>
      <c r="E26" s="5" t="s">
        <v>139</v>
      </c>
      <c r="F26" s="5" t="s">
        <v>871</v>
      </c>
      <c r="G26" s="5" t="s">
        <v>872</v>
      </c>
      <c r="H26" s="5" t="s">
        <v>944</v>
      </c>
      <c r="I26" s="7" t="n">
        <v>314500</v>
      </c>
      <c r="J26" s="7" t="n">
        <v>44030</v>
      </c>
      <c r="K26" s="7" t="n">
        <f aca="false">I26+J26</f>
        <v>358530</v>
      </c>
      <c r="L26" s="10" t="n">
        <v>46334</v>
      </c>
      <c r="M26" s="7" t="n">
        <f aca="false">SUMIFS('Customer and Supplier Returns'!$S$2:$S$12,'Customer and Supplier Returns'!$G$2:$G$12,A26,'Customer and Supplier Returns'!$B$2:$B$12,"Supplier return")</f>
        <v>0</v>
      </c>
      <c r="N26" s="7" t="n">
        <f aca="false">SUMIFS('Vendor Bills and Payments'!$F$37:$F$54,'Vendor Bills and Payments'!$D$37:$D$54,A26)</f>
        <v>0</v>
      </c>
      <c r="O26" s="7" t="n">
        <f aca="false">K26-M26-N26</f>
        <v>358530</v>
      </c>
      <c r="P26" s="5" t="str">
        <f aca="false">IF(ROUND(O26,2)=0,"Paid",IF(L26&lt;DATE(2026,9,30),"Overdue","Open"))</f>
        <v>Open</v>
      </c>
    </row>
    <row r="27" customFormat="false" ht="15" hidden="false" customHeight="false" outlineLevel="0" collapsed="false">
      <c r="A27" s="5" t="s">
        <v>879</v>
      </c>
      <c r="B27" s="10" t="n">
        <v>46279</v>
      </c>
      <c r="C27" s="5" t="s">
        <v>401</v>
      </c>
      <c r="D27" s="5" t="s">
        <v>138</v>
      </c>
      <c r="E27" s="5" t="s">
        <v>139</v>
      </c>
      <c r="F27" s="5" t="s">
        <v>877</v>
      </c>
      <c r="G27" s="5" t="s">
        <v>878</v>
      </c>
      <c r="H27" s="5" t="s">
        <v>945</v>
      </c>
      <c r="I27" s="7" t="n">
        <v>252000</v>
      </c>
      <c r="J27" s="7" t="n">
        <v>35280</v>
      </c>
      <c r="K27" s="7" t="n">
        <f aca="false">I27+J27</f>
        <v>287280</v>
      </c>
      <c r="L27" s="10" t="n">
        <v>46339</v>
      </c>
      <c r="M27" s="7" t="n">
        <f aca="false">SUMIFS('Customer and Supplier Returns'!$S$2:$S$12,'Customer and Supplier Returns'!$G$2:$G$12,A27,'Customer and Supplier Returns'!$B$2:$B$12,"Supplier return")</f>
        <v>0</v>
      </c>
      <c r="N27" s="7" t="n">
        <f aca="false">SUMIFS('Vendor Bills and Payments'!$F$37:$F$54,'Vendor Bills and Payments'!$D$37:$D$54,A27)</f>
        <v>0</v>
      </c>
      <c r="O27" s="7" t="n">
        <f aca="false">K27-M27-N27</f>
        <v>287280</v>
      </c>
      <c r="P27" s="5" t="str">
        <f aca="false">IF(ROUND(O27,2)=0,"Paid",IF(L27&lt;DATE(2026,9,30),"Overdue","Open"))</f>
        <v>Open</v>
      </c>
    </row>
    <row r="28" customFormat="false" ht="15" hidden="false" customHeight="false" outlineLevel="0" collapsed="false">
      <c r="A28" s="5" t="s">
        <v>891</v>
      </c>
      <c r="B28" s="10" t="n">
        <v>46282</v>
      </c>
      <c r="C28" s="5" t="s">
        <v>401</v>
      </c>
      <c r="D28" s="5" t="s">
        <v>153</v>
      </c>
      <c r="E28" s="5" t="s">
        <v>154</v>
      </c>
      <c r="F28" s="5" t="s">
        <v>889</v>
      </c>
      <c r="G28" s="5" t="s">
        <v>890</v>
      </c>
      <c r="H28" s="5" t="s">
        <v>946</v>
      </c>
      <c r="I28" s="7" t="n">
        <v>79496</v>
      </c>
      <c r="J28" s="7" t="n">
        <v>11129.44</v>
      </c>
      <c r="K28" s="7" t="n">
        <f aca="false">I28+J28</f>
        <v>90625.44</v>
      </c>
      <c r="L28" s="10" t="n">
        <v>46312</v>
      </c>
      <c r="M28" s="7" t="n">
        <f aca="false">SUMIFS('Customer and Supplier Returns'!$S$2:$S$12,'Customer and Supplier Returns'!$G$2:$G$12,A28,'Customer and Supplier Returns'!$B$2:$B$12,"Supplier return")</f>
        <v>0</v>
      </c>
      <c r="N28" s="7" t="n">
        <f aca="false">SUMIFS('Vendor Bills and Payments'!$F$37:$F$54,'Vendor Bills and Payments'!$D$37:$D$54,A28)</f>
        <v>0</v>
      </c>
      <c r="O28" s="7" t="n">
        <f aca="false">K28-M28-N28</f>
        <v>90625.44</v>
      </c>
      <c r="P28" s="5" t="str">
        <f aca="false">IF(ROUND(O28,2)=0,"Paid",IF(L28&lt;DATE(2026,9,30),"Overdue","Open"))</f>
        <v>Open</v>
      </c>
    </row>
    <row r="29" customFormat="false" ht="15" hidden="false" customHeight="false" outlineLevel="0" collapsed="false">
      <c r="A29" s="5" t="s">
        <v>947</v>
      </c>
      <c r="B29" s="10" t="n">
        <v>46283</v>
      </c>
      <c r="C29" s="5" t="s">
        <v>401</v>
      </c>
      <c r="D29" s="5" t="s">
        <v>175</v>
      </c>
      <c r="E29" s="5" t="s">
        <v>176</v>
      </c>
      <c r="F29" s="5" t="s">
        <v>883</v>
      </c>
      <c r="G29" s="5" t="s">
        <v>948</v>
      </c>
      <c r="H29" s="5" t="s">
        <v>949</v>
      </c>
      <c r="I29" s="7" t="n">
        <v>26680</v>
      </c>
      <c r="J29" s="7" t="n">
        <v>3735.2</v>
      </c>
      <c r="K29" s="7" t="n">
        <f aca="false">I29+J29</f>
        <v>30415.2</v>
      </c>
      <c r="L29" s="10" t="n">
        <v>46313</v>
      </c>
      <c r="M29" s="7" t="n">
        <f aca="false">SUMIFS('Customer and Supplier Returns'!$S$2:$S$12,'Customer and Supplier Returns'!$G$2:$G$12,A29,'Customer and Supplier Returns'!$B$2:$B$12,"Supplier return")</f>
        <v>0</v>
      </c>
      <c r="N29" s="7" t="n">
        <f aca="false">SUMIFS('Vendor Bills and Payments'!$F$37:$F$54,'Vendor Bills and Payments'!$D$37:$D$54,A29)</f>
        <v>0</v>
      </c>
      <c r="O29" s="7" t="n">
        <f aca="false">K29-M29-N29</f>
        <v>30415.2</v>
      </c>
      <c r="P29" s="5" t="str">
        <f aca="false">IF(ROUND(O29,2)=0,"Paid",IF(L29&lt;DATE(2026,9,30),"Overdue","Open"))</f>
        <v>Open</v>
      </c>
    </row>
    <row r="30" customFormat="false" ht="15" hidden="false" customHeight="false" outlineLevel="0" collapsed="false">
      <c r="A30" s="5" t="s">
        <v>894</v>
      </c>
      <c r="B30" s="10" t="n">
        <v>46283</v>
      </c>
      <c r="C30" s="5" t="s">
        <v>401</v>
      </c>
      <c r="D30" s="5" t="s">
        <v>161</v>
      </c>
      <c r="E30" s="5" t="s">
        <v>162</v>
      </c>
      <c r="F30" s="5" t="s">
        <v>892</v>
      </c>
      <c r="G30" s="5" t="s">
        <v>893</v>
      </c>
      <c r="H30" s="5" t="s">
        <v>950</v>
      </c>
      <c r="I30" s="7" t="n">
        <v>403500</v>
      </c>
      <c r="J30" s="7" t="n">
        <v>56490</v>
      </c>
      <c r="K30" s="7" t="n">
        <f aca="false">I30+J30</f>
        <v>459990</v>
      </c>
      <c r="L30" s="10" t="n">
        <v>46313</v>
      </c>
      <c r="M30" s="7" t="n">
        <f aca="false">SUMIFS('Customer and Supplier Returns'!$S$2:$S$12,'Customer and Supplier Returns'!$G$2:$G$12,A30,'Customer and Supplier Returns'!$B$2:$B$12,"Supplier return")</f>
        <v>0</v>
      </c>
      <c r="N30" s="7" t="n">
        <f aca="false">SUMIFS('Vendor Bills and Payments'!$F$37:$F$54,'Vendor Bills and Payments'!$D$37:$D$54,A30)</f>
        <v>0</v>
      </c>
      <c r="O30" s="7" t="n">
        <f aca="false">K30-M30-N30</f>
        <v>459990</v>
      </c>
      <c r="P30" s="5" t="str">
        <f aca="false">IF(ROUND(O30,2)=0,"Paid",IF(L30&lt;DATE(2026,9,30),"Overdue","Open"))</f>
        <v>Open</v>
      </c>
    </row>
    <row r="31" customFormat="false" ht="15" hidden="false" customHeight="false" outlineLevel="0" collapsed="false">
      <c r="A31" s="5" t="s">
        <v>888</v>
      </c>
      <c r="B31" s="10" t="n">
        <v>46295</v>
      </c>
      <c r="C31" s="5" t="s">
        <v>401</v>
      </c>
      <c r="D31" s="5" t="s">
        <v>168</v>
      </c>
      <c r="E31" s="5" t="s">
        <v>169</v>
      </c>
      <c r="F31" s="5" t="s">
        <v>886</v>
      </c>
      <c r="G31" s="5" t="s">
        <v>887</v>
      </c>
      <c r="H31" s="5" t="s">
        <v>951</v>
      </c>
      <c r="I31" s="7" t="n">
        <v>472000</v>
      </c>
      <c r="J31" s="7" t="n">
        <v>66080</v>
      </c>
      <c r="K31" s="7" t="n">
        <f aca="false">I31+J31</f>
        <v>538080</v>
      </c>
      <c r="L31" s="10" t="n">
        <v>46340</v>
      </c>
      <c r="M31" s="7" t="n">
        <f aca="false">SUMIFS('Customer and Supplier Returns'!$S$2:$S$12,'Customer and Supplier Returns'!$G$2:$G$12,A31,'Customer and Supplier Returns'!$B$2:$B$12,"Supplier return")</f>
        <v>0</v>
      </c>
      <c r="N31" s="7" t="n">
        <f aca="false">SUMIFS('Vendor Bills and Payments'!$F$37:$F$54,'Vendor Bills and Payments'!$D$37:$D$54,A31)</f>
        <v>0</v>
      </c>
      <c r="O31" s="7" t="n">
        <f aca="false">K31-M31-N31</f>
        <v>538080</v>
      </c>
      <c r="P31" s="5" t="str">
        <f aca="false">IF(ROUND(O31,2)=0,"Paid",IF(L31&lt;DATE(2026,9,30),"Overdue","Open"))</f>
        <v>Open</v>
      </c>
    </row>
    <row r="32" customFormat="false" ht="15" hidden="false" customHeight="false" outlineLevel="0" collapsed="false">
      <c r="H32" s="14" t="s">
        <v>728</v>
      </c>
      <c r="I32" s="15" t="n">
        <f aca="false">SUM(I4:I31)</f>
        <v>24579359</v>
      </c>
      <c r="J32" s="15" t="n">
        <f aca="false">SUM(J4:J31)</f>
        <v>3441110.26</v>
      </c>
      <c r="K32" s="15" t="n">
        <f aca="false">SUM(K4:K31)</f>
        <v>28020469.26</v>
      </c>
      <c r="M32" s="15" t="n">
        <f aca="false">SUM(M4:M31)</f>
        <v>35482.5</v>
      </c>
      <c r="N32" s="15" t="n">
        <f aca="false">SUM(N4:N31)</f>
        <v>25322247.72</v>
      </c>
      <c r="O32" s="15" t="n">
        <f aca="false">SUM(O4:O31)</f>
        <v>2662739.04</v>
      </c>
    </row>
    <row r="34" customFormat="false" ht="15" hidden="false" customHeight="false" outlineLevel="0" collapsed="false">
      <c r="A34" s="11" t="s">
        <v>952</v>
      </c>
    </row>
    <row r="35" customFormat="false" ht="15" hidden="false" customHeight="false" outlineLevel="0" collapsed="false">
      <c r="A35" s="12" t="s">
        <v>953</v>
      </c>
    </row>
    <row r="36" customFormat="false" ht="31.5" hidden="false" customHeight="true" outlineLevel="0" collapsed="false">
      <c r="A36" s="4" t="s">
        <v>731</v>
      </c>
      <c r="B36" s="4" t="s">
        <v>732</v>
      </c>
      <c r="C36" s="4" t="s">
        <v>133</v>
      </c>
      <c r="D36" s="4" t="s">
        <v>954</v>
      </c>
      <c r="E36" s="4" t="s">
        <v>808</v>
      </c>
      <c r="F36" s="4" t="s">
        <v>735</v>
      </c>
      <c r="G36" s="4" t="s">
        <v>736</v>
      </c>
      <c r="H36" s="4" t="s">
        <v>737</v>
      </c>
      <c r="I36" s="4" t="s">
        <v>182</v>
      </c>
    </row>
    <row r="37" customFormat="false" ht="15" hidden="false" customHeight="false" outlineLevel="0" collapsed="false">
      <c r="A37" s="5" t="s">
        <v>955</v>
      </c>
      <c r="B37" s="10" t="n">
        <v>46205</v>
      </c>
      <c r="C37" s="5" t="s">
        <v>153</v>
      </c>
      <c r="D37" s="5" t="s">
        <v>829</v>
      </c>
      <c r="E37" s="5" t="s">
        <v>154</v>
      </c>
      <c r="F37" s="7" t="n">
        <v>117223.92</v>
      </c>
      <c r="G37" s="5" t="s">
        <v>753</v>
      </c>
      <c r="H37" s="5" t="s">
        <v>747</v>
      </c>
      <c r="I37" s="5" t="s">
        <v>288</v>
      </c>
    </row>
    <row r="38" customFormat="false" ht="15" hidden="false" customHeight="false" outlineLevel="0" collapsed="false">
      <c r="A38" s="5" t="s">
        <v>956</v>
      </c>
      <c r="B38" s="10" t="n">
        <v>46209</v>
      </c>
      <c r="C38" s="5" t="s">
        <v>161</v>
      </c>
      <c r="D38" s="5" t="s">
        <v>832</v>
      </c>
      <c r="E38" s="5" t="s">
        <v>162</v>
      </c>
      <c r="F38" s="7" t="n">
        <v>58413.6</v>
      </c>
      <c r="G38" s="5" t="s">
        <v>753</v>
      </c>
      <c r="H38" s="5" t="s">
        <v>747</v>
      </c>
      <c r="I38" s="5" t="s">
        <v>288</v>
      </c>
    </row>
    <row r="39" customFormat="false" ht="15" hidden="false" customHeight="false" outlineLevel="0" collapsed="false">
      <c r="A39" s="5" t="s">
        <v>957</v>
      </c>
      <c r="B39" s="10" t="n">
        <v>46215</v>
      </c>
      <c r="C39" s="5" t="s">
        <v>153</v>
      </c>
      <c r="D39" s="5" t="s">
        <v>835</v>
      </c>
      <c r="E39" s="5" t="s">
        <v>154</v>
      </c>
      <c r="F39" s="7" t="n">
        <v>101693.7</v>
      </c>
      <c r="G39" s="5" t="s">
        <v>753</v>
      </c>
      <c r="H39" s="5" t="s">
        <v>747</v>
      </c>
      <c r="I39" s="5" t="s">
        <v>288</v>
      </c>
    </row>
    <row r="40" customFormat="false" ht="15" hidden="false" customHeight="false" outlineLevel="0" collapsed="false">
      <c r="A40" s="5" t="s">
        <v>958</v>
      </c>
      <c r="B40" s="10" t="n">
        <v>46223</v>
      </c>
      <c r="C40" s="5" t="s">
        <v>161</v>
      </c>
      <c r="D40" s="5" t="s">
        <v>845</v>
      </c>
      <c r="E40" s="5" t="s">
        <v>162</v>
      </c>
      <c r="F40" s="7" t="n">
        <v>345351.6</v>
      </c>
      <c r="G40" s="5" t="s">
        <v>753</v>
      </c>
      <c r="H40" s="5" t="s">
        <v>747</v>
      </c>
      <c r="I40" s="5" t="s">
        <v>288</v>
      </c>
    </row>
    <row r="41" customFormat="false" ht="15" hidden="false" customHeight="false" outlineLevel="0" collapsed="false">
      <c r="A41" s="5" t="s">
        <v>959</v>
      </c>
      <c r="B41" s="10" t="n">
        <v>46236</v>
      </c>
      <c r="C41" s="5" t="s">
        <v>161</v>
      </c>
      <c r="D41" s="5" t="s">
        <v>842</v>
      </c>
      <c r="E41" s="5" t="s">
        <v>162</v>
      </c>
      <c r="F41" s="7" t="n">
        <v>250800</v>
      </c>
      <c r="G41" s="5" t="s">
        <v>753</v>
      </c>
      <c r="H41" s="5" t="s">
        <v>747</v>
      </c>
      <c r="I41" s="5" t="s">
        <v>346</v>
      </c>
    </row>
    <row r="42" customFormat="false" ht="15" hidden="false" customHeight="false" outlineLevel="0" collapsed="false">
      <c r="A42" s="5" t="s">
        <v>960</v>
      </c>
      <c r="B42" s="10" t="n">
        <v>46237</v>
      </c>
      <c r="C42" s="5" t="s">
        <v>138</v>
      </c>
      <c r="D42" s="5" t="s">
        <v>818</v>
      </c>
      <c r="E42" s="5" t="s">
        <v>139</v>
      </c>
      <c r="F42" s="7" t="n">
        <v>430920</v>
      </c>
      <c r="G42" s="5" t="s">
        <v>753</v>
      </c>
      <c r="H42" s="5" t="s">
        <v>754</v>
      </c>
      <c r="I42" s="5" t="s">
        <v>346</v>
      </c>
    </row>
    <row r="43" customFormat="false" ht="15" hidden="false" customHeight="false" outlineLevel="0" collapsed="false">
      <c r="A43" s="5" t="s">
        <v>961</v>
      </c>
      <c r="B43" s="10" t="n">
        <v>46237</v>
      </c>
      <c r="C43" s="5" t="s">
        <v>153</v>
      </c>
      <c r="D43" s="5" t="s">
        <v>851</v>
      </c>
      <c r="E43" s="5" t="s">
        <v>154</v>
      </c>
      <c r="F43" s="7" t="n">
        <v>216047.1</v>
      </c>
      <c r="G43" s="5" t="s">
        <v>753</v>
      </c>
      <c r="H43" s="5" t="s">
        <v>747</v>
      </c>
      <c r="I43" s="5" t="s">
        <v>346</v>
      </c>
    </row>
    <row r="44" customFormat="false" ht="15" hidden="false" customHeight="false" outlineLevel="0" collapsed="false">
      <c r="A44" s="5" t="s">
        <v>962</v>
      </c>
      <c r="B44" s="10" t="n">
        <v>46244</v>
      </c>
      <c r="C44" s="5" t="s">
        <v>138</v>
      </c>
      <c r="D44" s="5" t="s">
        <v>822</v>
      </c>
      <c r="E44" s="5" t="s">
        <v>139</v>
      </c>
      <c r="F44" s="7" t="n">
        <v>287280</v>
      </c>
      <c r="G44" s="5" t="s">
        <v>753</v>
      </c>
      <c r="H44" s="5" t="s">
        <v>754</v>
      </c>
      <c r="I44" s="5" t="s">
        <v>346</v>
      </c>
    </row>
    <row r="45" customFormat="false" ht="15" hidden="false" customHeight="false" outlineLevel="0" collapsed="false">
      <c r="A45" s="5" t="s">
        <v>963</v>
      </c>
      <c r="B45" s="10" t="n">
        <v>46246</v>
      </c>
      <c r="C45" s="5" t="s">
        <v>138</v>
      </c>
      <c r="D45" s="5" t="s">
        <v>825</v>
      </c>
      <c r="E45" s="5" t="s">
        <v>139</v>
      </c>
      <c r="F45" s="7" t="n">
        <v>379620</v>
      </c>
      <c r="G45" s="5" t="s">
        <v>753</v>
      </c>
      <c r="H45" s="5" t="s">
        <v>754</v>
      </c>
      <c r="I45" s="5" t="s">
        <v>346</v>
      </c>
    </row>
    <row r="46" customFormat="false" ht="15" hidden="false" customHeight="false" outlineLevel="0" collapsed="false">
      <c r="A46" s="5" t="s">
        <v>964</v>
      </c>
      <c r="B46" s="10" t="n">
        <v>46257</v>
      </c>
      <c r="C46" s="5" t="s">
        <v>161</v>
      </c>
      <c r="D46" s="5" t="s">
        <v>857</v>
      </c>
      <c r="E46" s="5" t="s">
        <v>162</v>
      </c>
      <c r="F46" s="7" t="n">
        <v>242272.8</v>
      </c>
      <c r="G46" s="5" t="s">
        <v>753</v>
      </c>
      <c r="H46" s="5" t="s">
        <v>747</v>
      </c>
      <c r="I46" s="5" t="s">
        <v>346</v>
      </c>
    </row>
    <row r="47" customFormat="false" ht="15" hidden="false" customHeight="false" outlineLevel="0" collapsed="false">
      <c r="A47" s="5" t="s">
        <v>965</v>
      </c>
      <c r="B47" s="10" t="n">
        <v>46264</v>
      </c>
      <c r="C47" s="5" t="s">
        <v>153</v>
      </c>
      <c r="D47" s="5" t="s">
        <v>931</v>
      </c>
      <c r="E47" s="5" t="s">
        <v>154</v>
      </c>
      <c r="F47" s="7" t="n">
        <v>291349.8</v>
      </c>
      <c r="G47" s="5" t="s">
        <v>753</v>
      </c>
      <c r="H47" s="5" t="s">
        <v>747</v>
      </c>
      <c r="I47" s="5" t="s">
        <v>346</v>
      </c>
    </row>
    <row r="48" customFormat="false" ht="15" hidden="false" customHeight="false" outlineLevel="0" collapsed="false">
      <c r="A48" s="5" t="s">
        <v>966</v>
      </c>
      <c r="B48" s="10" t="n">
        <v>46266</v>
      </c>
      <c r="C48" s="5" t="s">
        <v>168</v>
      </c>
      <c r="D48" s="5" t="s">
        <v>922</v>
      </c>
      <c r="E48" s="5" t="s">
        <v>169</v>
      </c>
      <c r="F48" s="7" t="n">
        <v>129504</v>
      </c>
      <c r="G48" s="5" t="s">
        <v>753</v>
      </c>
      <c r="H48" s="5" t="s">
        <v>754</v>
      </c>
      <c r="I48" s="5" t="s">
        <v>401</v>
      </c>
    </row>
    <row r="49" customFormat="false" ht="15" hidden="false" customHeight="false" outlineLevel="0" collapsed="false">
      <c r="A49" s="5" t="s">
        <v>967</v>
      </c>
      <c r="B49" s="10" t="n">
        <v>46266</v>
      </c>
      <c r="C49" s="5" t="s">
        <v>175</v>
      </c>
      <c r="D49" s="5" t="s">
        <v>864</v>
      </c>
      <c r="E49" s="5" t="s">
        <v>176</v>
      </c>
      <c r="F49" s="7" t="n">
        <v>147744</v>
      </c>
      <c r="G49" s="5" t="s">
        <v>753</v>
      </c>
      <c r="H49" s="5" t="s">
        <v>747</v>
      </c>
      <c r="I49" s="5" t="s">
        <v>401</v>
      </c>
    </row>
    <row r="50" customFormat="false" ht="15" hidden="false" customHeight="false" outlineLevel="0" collapsed="false">
      <c r="A50" s="5" t="s">
        <v>968</v>
      </c>
      <c r="B50" s="10" t="n">
        <v>46268</v>
      </c>
      <c r="C50" s="5" t="s">
        <v>147</v>
      </c>
      <c r="D50" s="5" t="s">
        <v>838</v>
      </c>
      <c r="E50" s="5" t="s">
        <v>148</v>
      </c>
      <c r="F50" s="7" t="n">
        <v>21090000</v>
      </c>
      <c r="G50" s="5" t="s">
        <v>753</v>
      </c>
      <c r="H50" s="5" t="s">
        <v>754</v>
      </c>
      <c r="I50" s="5" t="s">
        <v>401</v>
      </c>
    </row>
    <row r="51" customFormat="false" ht="15" hidden="false" customHeight="false" outlineLevel="0" collapsed="false">
      <c r="A51" s="5" t="s">
        <v>969</v>
      </c>
      <c r="B51" s="10" t="n">
        <v>46271</v>
      </c>
      <c r="C51" s="5" t="s">
        <v>153</v>
      </c>
      <c r="D51" s="5" t="s">
        <v>935</v>
      </c>
      <c r="E51" s="5" t="s">
        <v>154</v>
      </c>
      <c r="F51" s="7" t="n">
        <v>190243.2</v>
      </c>
      <c r="G51" s="5" t="s">
        <v>753</v>
      </c>
      <c r="H51" s="5" t="s">
        <v>747</v>
      </c>
      <c r="I51" s="5" t="s">
        <v>401</v>
      </c>
    </row>
    <row r="52" customFormat="false" ht="15" hidden="false" customHeight="false" outlineLevel="0" collapsed="false">
      <c r="A52" s="5" t="s">
        <v>970</v>
      </c>
      <c r="B52" s="10" t="n">
        <v>46271</v>
      </c>
      <c r="C52" s="5" t="s">
        <v>168</v>
      </c>
      <c r="D52" s="5" t="s">
        <v>926</v>
      </c>
      <c r="E52" s="5" t="s">
        <v>169</v>
      </c>
      <c r="F52" s="7" t="n">
        <v>97128</v>
      </c>
      <c r="G52" s="5" t="s">
        <v>753</v>
      </c>
      <c r="H52" s="5" t="s">
        <v>754</v>
      </c>
      <c r="I52" s="5" t="s">
        <v>401</v>
      </c>
    </row>
    <row r="53" customFormat="false" ht="15" hidden="false" customHeight="false" outlineLevel="0" collapsed="false">
      <c r="A53" s="5" t="s">
        <v>971</v>
      </c>
      <c r="B53" s="10" t="n">
        <v>46285</v>
      </c>
      <c r="C53" s="5" t="s">
        <v>161</v>
      </c>
      <c r="D53" s="5" t="s">
        <v>870</v>
      </c>
      <c r="E53" s="5" t="s">
        <v>162</v>
      </c>
      <c r="F53" s="7" t="n">
        <v>388056</v>
      </c>
      <c r="G53" s="5" t="s">
        <v>753</v>
      </c>
      <c r="H53" s="5" t="s">
        <v>747</v>
      </c>
      <c r="I53" s="5" t="s">
        <v>401</v>
      </c>
    </row>
    <row r="54" customFormat="false" ht="15" hidden="false" customHeight="false" outlineLevel="0" collapsed="false">
      <c r="A54" s="5" t="s">
        <v>972</v>
      </c>
      <c r="B54" s="10" t="n">
        <v>46292</v>
      </c>
      <c r="C54" s="5" t="s">
        <v>138</v>
      </c>
      <c r="D54" s="5" t="s">
        <v>854</v>
      </c>
      <c r="E54" s="5" t="s">
        <v>139</v>
      </c>
      <c r="F54" s="7" t="n">
        <v>558600</v>
      </c>
      <c r="G54" s="5" t="s">
        <v>753</v>
      </c>
      <c r="H54" s="5" t="s">
        <v>754</v>
      </c>
      <c r="I54" s="5" t="s">
        <v>401</v>
      </c>
    </row>
    <row r="55" customFormat="false" ht="15" hidden="false" customHeight="false" outlineLevel="0" collapsed="false">
      <c r="E55" s="14" t="s">
        <v>973</v>
      </c>
      <c r="F55" s="15" t="n">
        <f aca="false">SUM(F37:F54)</f>
        <v>25322247.72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L2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40"/>
    <col collapsed="false" customWidth="true" hidden="false" outlineLevel="0" max="10" min="9" style="0" width="13"/>
    <col collapsed="false" customWidth="true" hidden="false" outlineLevel="0" max="11" min="11" style="0" width="60"/>
    <col collapsed="false" customWidth="true" hidden="false" outlineLevel="0" max="12" min="12" style="0" width="28"/>
  </cols>
  <sheetData>
    <row r="1" customFormat="false" ht="31.5" hidden="false" customHeight="true" outlineLevel="0" collapsed="false">
      <c r="A1" s="4" t="s">
        <v>974</v>
      </c>
      <c r="B1" s="4" t="s">
        <v>975</v>
      </c>
      <c r="C1" s="4" t="s">
        <v>976</v>
      </c>
      <c r="D1" s="4" t="s">
        <v>977</v>
      </c>
      <c r="E1" s="4" t="s">
        <v>978</v>
      </c>
      <c r="F1" s="4" t="s">
        <v>979</v>
      </c>
      <c r="G1" s="4" t="s">
        <v>451</v>
      </c>
      <c r="H1" s="4" t="s">
        <v>452</v>
      </c>
      <c r="I1" s="4" t="s">
        <v>980</v>
      </c>
      <c r="J1" s="4" t="s">
        <v>456</v>
      </c>
      <c r="K1" s="4" t="s">
        <v>981</v>
      </c>
      <c r="L1" s="4" t="s">
        <v>982</v>
      </c>
    </row>
    <row r="2" customFormat="false" ht="15" hidden="false" customHeight="false" outlineLevel="0" collapsed="false">
      <c r="A2" s="5" t="s">
        <v>983</v>
      </c>
      <c r="B2" s="5" t="s">
        <v>984</v>
      </c>
      <c r="C2" s="10" t="n">
        <v>46154</v>
      </c>
      <c r="D2" s="5" t="s">
        <v>827</v>
      </c>
      <c r="E2" s="5" t="s">
        <v>188</v>
      </c>
      <c r="F2" s="5" t="s">
        <v>38</v>
      </c>
      <c r="G2" s="5" t="s">
        <v>464</v>
      </c>
      <c r="H2" s="5" t="s">
        <v>465</v>
      </c>
      <c r="I2" s="13" t="n">
        <v>494</v>
      </c>
      <c r="J2" s="5" t="s">
        <v>466</v>
      </c>
      <c r="K2" s="5" t="s">
        <v>985</v>
      </c>
      <c r="L2" s="5" t="s">
        <v>192</v>
      </c>
    </row>
    <row r="3" customFormat="false" ht="15" hidden="false" customHeight="false" outlineLevel="0" collapsed="false">
      <c r="A3" s="5" t="s">
        <v>986</v>
      </c>
      <c r="B3" s="5" t="s">
        <v>984</v>
      </c>
      <c r="C3" s="10" t="n">
        <v>46155</v>
      </c>
      <c r="D3" s="5" t="s">
        <v>827</v>
      </c>
      <c r="E3" s="5" t="s">
        <v>199</v>
      </c>
      <c r="F3" s="5" t="s">
        <v>47</v>
      </c>
      <c r="G3" s="5" t="s">
        <v>464</v>
      </c>
      <c r="H3" s="5" t="s">
        <v>465</v>
      </c>
      <c r="I3" s="13" t="n">
        <v>240</v>
      </c>
      <c r="J3" s="5" t="s">
        <v>466</v>
      </c>
      <c r="K3" s="5" t="s">
        <v>987</v>
      </c>
      <c r="L3" s="5" t="s">
        <v>201</v>
      </c>
    </row>
    <row r="4" customFormat="false" ht="15" hidden="false" customHeight="false" outlineLevel="0" collapsed="false">
      <c r="A4" s="5" t="s">
        <v>986</v>
      </c>
      <c r="B4" s="5" t="s">
        <v>984</v>
      </c>
      <c r="C4" s="10" t="n">
        <v>46155</v>
      </c>
      <c r="D4" s="5" t="s">
        <v>827</v>
      </c>
      <c r="E4" s="5" t="s">
        <v>199</v>
      </c>
      <c r="F4" s="5" t="s">
        <v>47</v>
      </c>
      <c r="G4" s="5" t="s">
        <v>480</v>
      </c>
      <c r="H4" s="5" t="s">
        <v>481</v>
      </c>
      <c r="I4" s="13" t="n">
        <v>247</v>
      </c>
      <c r="J4" s="5" t="s">
        <v>466</v>
      </c>
      <c r="K4" s="5" t="s">
        <v>988</v>
      </c>
      <c r="L4" s="5" t="s">
        <v>201</v>
      </c>
    </row>
    <row r="5" customFormat="false" ht="15" hidden="false" customHeight="false" outlineLevel="0" collapsed="false">
      <c r="A5" s="5" t="s">
        <v>206</v>
      </c>
      <c r="B5" s="5" t="s">
        <v>984</v>
      </c>
      <c r="C5" s="10" t="n">
        <v>46156</v>
      </c>
      <c r="D5" s="5" t="s">
        <v>827</v>
      </c>
      <c r="E5" s="5" t="s">
        <v>205</v>
      </c>
      <c r="F5" s="5" t="s">
        <v>126</v>
      </c>
      <c r="G5" s="5" t="s">
        <v>480</v>
      </c>
      <c r="H5" s="5" t="s">
        <v>481</v>
      </c>
      <c r="I5" s="13" t="n">
        <v>12</v>
      </c>
      <c r="J5" s="5" t="s">
        <v>466</v>
      </c>
      <c r="K5" s="5" t="s">
        <v>989</v>
      </c>
      <c r="L5" s="5" t="s">
        <v>207</v>
      </c>
    </row>
    <row r="6" customFormat="false" ht="15" hidden="false" customHeight="false" outlineLevel="0" collapsed="false">
      <c r="A6" s="5" t="s">
        <v>990</v>
      </c>
      <c r="B6" s="5" t="s">
        <v>984</v>
      </c>
      <c r="C6" s="10" t="n">
        <v>46159</v>
      </c>
      <c r="D6" s="5" t="s">
        <v>827</v>
      </c>
      <c r="E6" s="5" t="s">
        <v>196</v>
      </c>
      <c r="F6" s="5" t="s">
        <v>69</v>
      </c>
      <c r="G6" s="5" t="s">
        <v>474</v>
      </c>
      <c r="H6" s="5" t="s">
        <v>475</v>
      </c>
      <c r="I6" s="13" t="n">
        <v>134</v>
      </c>
      <c r="J6" s="5" t="s">
        <v>466</v>
      </c>
      <c r="K6" s="5" t="s">
        <v>991</v>
      </c>
      <c r="L6" s="5" t="s">
        <v>198</v>
      </c>
    </row>
    <row r="7" customFormat="false" ht="15" hidden="false" customHeight="false" outlineLevel="0" collapsed="false">
      <c r="A7" s="5" t="s">
        <v>992</v>
      </c>
      <c r="B7" s="5" t="s">
        <v>984</v>
      </c>
      <c r="C7" s="10" t="n">
        <v>46161</v>
      </c>
      <c r="D7" s="5" t="s">
        <v>827</v>
      </c>
      <c r="E7" s="5" t="s">
        <v>211</v>
      </c>
      <c r="F7" s="5" t="s">
        <v>104</v>
      </c>
      <c r="G7" s="5" t="s">
        <v>484</v>
      </c>
      <c r="H7" s="5" t="s">
        <v>485</v>
      </c>
      <c r="I7" s="13" t="n">
        <v>62</v>
      </c>
      <c r="J7" s="5" t="s">
        <v>486</v>
      </c>
      <c r="K7" s="5" t="s">
        <v>993</v>
      </c>
      <c r="L7" s="5" t="s">
        <v>213</v>
      </c>
    </row>
    <row r="8" customFormat="false" ht="15" hidden="false" customHeight="false" outlineLevel="0" collapsed="false">
      <c r="A8" s="5" t="s">
        <v>992</v>
      </c>
      <c r="B8" s="5" t="s">
        <v>984</v>
      </c>
      <c r="C8" s="10" t="n">
        <v>46161</v>
      </c>
      <c r="D8" s="5" t="s">
        <v>827</v>
      </c>
      <c r="E8" s="5" t="s">
        <v>211</v>
      </c>
      <c r="F8" s="5" t="s">
        <v>104</v>
      </c>
      <c r="G8" s="5" t="s">
        <v>490</v>
      </c>
      <c r="H8" s="5" t="s">
        <v>491</v>
      </c>
      <c r="I8" s="13" t="n">
        <v>180</v>
      </c>
      <c r="J8" s="5" t="s">
        <v>466</v>
      </c>
      <c r="K8" s="5" t="s">
        <v>994</v>
      </c>
      <c r="L8" s="5" t="s">
        <v>213</v>
      </c>
    </row>
    <row r="9" customFormat="false" ht="15" hidden="false" customHeight="false" outlineLevel="0" collapsed="false">
      <c r="A9" s="5" t="s">
        <v>995</v>
      </c>
      <c r="B9" s="5" t="s">
        <v>984</v>
      </c>
      <c r="C9" s="10" t="n">
        <v>46166</v>
      </c>
      <c r="D9" s="5" t="s">
        <v>827</v>
      </c>
      <c r="E9" s="5" t="s">
        <v>208</v>
      </c>
      <c r="F9" s="5" t="s">
        <v>97</v>
      </c>
      <c r="G9" s="5" t="s">
        <v>484</v>
      </c>
      <c r="H9" s="5" t="s">
        <v>485</v>
      </c>
      <c r="I9" s="13" t="n">
        <v>98</v>
      </c>
      <c r="J9" s="5" t="s">
        <v>486</v>
      </c>
      <c r="K9" s="5" t="s">
        <v>996</v>
      </c>
      <c r="L9" s="5" t="s">
        <v>210</v>
      </c>
    </row>
    <row r="10" customFormat="false" ht="15" hidden="false" customHeight="false" outlineLevel="0" collapsed="false">
      <c r="A10" s="5" t="s">
        <v>995</v>
      </c>
      <c r="B10" s="5" t="s">
        <v>984</v>
      </c>
      <c r="C10" s="10" t="n">
        <v>46166</v>
      </c>
      <c r="D10" s="5" t="s">
        <v>827</v>
      </c>
      <c r="E10" s="5" t="s">
        <v>208</v>
      </c>
      <c r="F10" s="5" t="s">
        <v>97</v>
      </c>
      <c r="G10" s="5" t="s">
        <v>487</v>
      </c>
      <c r="H10" s="5" t="s">
        <v>488</v>
      </c>
      <c r="I10" s="13" t="n">
        <v>10</v>
      </c>
      <c r="J10" s="5" t="s">
        <v>489</v>
      </c>
      <c r="K10" s="5" t="s">
        <v>997</v>
      </c>
      <c r="L10" s="5" t="s">
        <v>210</v>
      </c>
    </row>
    <row r="11" customFormat="false" ht="15" hidden="false" customHeight="false" outlineLevel="0" collapsed="false">
      <c r="A11" s="5" t="s">
        <v>215</v>
      </c>
      <c r="B11" s="5" t="s">
        <v>984</v>
      </c>
      <c r="C11" s="10" t="n">
        <v>46166</v>
      </c>
      <c r="D11" s="5" t="s">
        <v>827</v>
      </c>
      <c r="E11" s="5" t="s">
        <v>214</v>
      </c>
      <c r="F11" s="5" t="s">
        <v>126</v>
      </c>
      <c r="G11" s="5" t="s">
        <v>480</v>
      </c>
      <c r="H11" s="5" t="s">
        <v>481</v>
      </c>
      <c r="I11" s="13" t="n">
        <v>4</v>
      </c>
      <c r="J11" s="5" t="s">
        <v>466</v>
      </c>
      <c r="K11" s="5" t="s">
        <v>998</v>
      </c>
      <c r="L11" s="5" t="s">
        <v>216</v>
      </c>
    </row>
    <row r="12" customFormat="false" ht="15" hidden="false" customHeight="false" outlineLevel="0" collapsed="false">
      <c r="A12" s="5" t="s">
        <v>215</v>
      </c>
      <c r="B12" s="5" t="s">
        <v>984</v>
      </c>
      <c r="C12" s="10" t="n">
        <v>46166</v>
      </c>
      <c r="D12" s="5" t="s">
        <v>827</v>
      </c>
      <c r="E12" s="5" t="s">
        <v>214</v>
      </c>
      <c r="F12" s="5" t="s">
        <v>126</v>
      </c>
      <c r="G12" s="5" t="s">
        <v>474</v>
      </c>
      <c r="H12" s="5" t="s">
        <v>475</v>
      </c>
      <c r="I12" s="13" t="n">
        <v>11</v>
      </c>
      <c r="J12" s="5" t="s">
        <v>466</v>
      </c>
      <c r="K12" s="5" t="s">
        <v>999</v>
      </c>
      <c r="L12" s="5" t="s">
        <v>216</v>
      </c>
    </row>
    <row r="13" customFormat="false" ht="15" hidden="false" customHeight="false" outlineLevel="0" collapsed="false">
      <c r="A13" s="5" t="s">
        <v>218</v>
      </c>
      <c r="B13" s="5" t="s">
        <v>984</v>
      </c>
      <c r="C13" s="10" t="n">
        <v>46168</v>
      </c>
      <c r="D13" s="5" t="s">
        <v>827</v>
      </c>
      <c r="E13" s="5" t="s">
        <v>217</v>
      </c>
      <c r="F13" s="5" t="s">
        <v>126</v>
      </c>
      <c r="G13" s="5" t="s">
        <v>480</v>
      </c>
      <c r="H13" s="5" t="s">
        <v>481</v>
      </c>
      <c r="I13" s="13" t="n">
        <v>4</v>
      </c>
      <c r="J13" s="5" t="s">
        <v>466</v>
      </c>
      <c r="K13" s="5" t="s">
        <v>998</v>
      </c>
      <c r="L13" s="5" t="s">
        <v>219</v>
      </c>
    </row>
    <row r="14" customFormat="false" ht="15" hidden="false" customHeight="false" outlineLevel="0" collapsed="false">
      <c r="A14" s="5" t="s">
        <v>221</v>
      </c>
      <c r="B14" s="5" t="s">
        <v>984</v>
      </c>
      <c r="C14" s="10" t="n">
        <v>46169</v>
      </c>
      <c r="D14" s="5" t="s">
        <v>827</v>
      </c>
      <c r="E14" s="5" t="s">
        <v>220</v>
      </c>
      <c r="F14" s="5" t="s">
        <v>76</v>
      </c>
      <c r="G14" s="5" t="s">
        <v>480</v>
      </c>
      <c r="H14" s="5" t="s">
        <v>481</v>
      </c>
      <c r="I14" s="13" t="n">
        <v>189</v>
      </c>
      <c r="J14" s="5" t="s">
        <v>466</v>
      </c>
      <c r="K14" s="5" t="s">
        <v>1000</v>
      </c>
      <c r="L14" s="5" t="s">
        <v>222</v>
      </c>
    </row>
    <row r="15" customFormat="false" ht="15" hidden="false" customHeight="false" outlineLevel="0" collapsed="false">
      <c r="A15" s="5" t="s">
        <v>221</v>
      </c>
      <c r="B15" s="5" t="s">
        <v>984</v>
      </c>
      <c r="C15" s="10" t="n">
        <v>46169</v>
      </c>
      <c r="D15" s="5" t="s">
        <v>827</v>
      </c>
      <c r="E15" s="5" t="s">
        <v>220</v>
      </c>
      <c r="F15" s="5" t="s">
        <v>76</v>
      </c>
      <c r="G15" s="5" t="s">
        <v>464</v>
      </c>
      <c r="H15" s="5" t="s">
        <v>465</v>
      </c>
      <c r="I15" s="13" t="n">
        <v>295</v>
      </c>
      <c r="J15" s="5" t="s">
        <v>466</v>
      </c>
      <c r="K15" s="5" t="s">
        <v>1001</v>
      </c>
      <c r="L15" s="5" t="s">
        <v>222</v>
      </c>
    </row>
    <row r="16" customFormat="false" ht="15" hidden="false" customHeight="false" outlineLevel="0" collapsed="false">
      <c r="A16" s="5" t="s">
        <v>221</v>
      </c>
      <c r="B16" s="5" t="s">
        <v>984</v>
      </c>
      <c r="C16" s="10" t="n">
        <v>46169</v>
      </c>
      <c r="D16" s="5" t="s">
        <v>827</v>
      </c>
      <c r="E16" s="5" t="s">
        <v>220</v>
      </c>
      <c r="F16" s="5" t="s">
        <v>76</v>
      </c>
      <c r="G16" s="5" t="s">
        <v>492</v>
      </c>
      <c r="H16" s="5" t="s">
        <v>493</v>
      </c>
      <c r="I16" s="13" t="n">
        <v>197</v>
      </c>
      <c r="J16" s="5" t="s">
        <v>486</v>
      </c>
      <c r="K16" s="5" t="s">
        <v>1002</v>
      </c>
      <c r="L16" s="5" t="s">
        <v>222</v>
      </c>
    </row>
    <row r="17" customFormat="false" ht="15" hidden="false" customHeight="false" outlineLevel="0" collapsed="false">
      <c r="A17" s="5" t="s">
        <v>1003</v>
      </c>
      <c r="B17" s="5" t="s">
        <v>984</v>
      </c>
      <c r="C17" s="10" t="n">
        <v>46169</v>
      </c>
      <c r="D17" s="5" t="s">
        <v>827</v>
      </c>
      <c r="E17" s="5" t="s">
        <v>223</v>
      </c>
      <c r="F17" s="5" t="s">
        <v>118</v>
      </c>
      <c r="G17" s="5" t="s">
        <v>464</v>
      </c>
      <c r="H17" s="5" t="s">
        <v>465</v>
      </c>
      <c r="I17" s="13" t="n">
        <v>497</v>
      </c>
      <c r="J17" s="5" t="s">
        <v>466</v>
      </c>
      <c r="K17" s="5" t="s">
        <v>1004</v>
      </c>
      <c r="L17" s="5" t="s">
        <v>225</v>
      </c>
    </row>
    <row r="18" customFormat="false" ht="15" hidden="false" customHeight="false" outlineLevel="0" collapsed="false">
      <c r="A18" s="5" t="s">
        <v>227</v>
      </c>
      <c r="B18" s="5" t="s">
        <v>984</v>
      </c>
      <c r="C18" s="10" t="n">
        <v>46169</v>
      </c>
      <c r="D18" s="5" t="s">
        <v>827</v>
      </c>
      <c r="E18" s="5" t="s">
        <v>226</v>
      </c>
      <c r="F18" s="5" t="s">
        <v>83</v>
      </c>
      <c r="G18" s="5" t="s">
        <v>484</v>
      </c>
      <c r="H18" s="5" t="s">
        <v>485</v>
      </c>
      <c r="I18" s="13" t="n">
        <v>67</v>
      </c>
      <c r="J18" s="5" t="s">
        <v>486</v>
      </c>
      <c r="K18" s="5" t="s">
        <v>1005</v>
      </c>
      <c r="L18" s="5" t="s">
        <v>228</v>
      </c>
    </row>
    <row r="19" customFormat="false" ht="15" hidden="false" customHeight="false" outlineLevel="0" collapsed="false">
      <c r="A19" s="5" t="s">
        <v>227</v>
      </c>
      <c r="B19" s="5" t="s">
        <v>984</v>
      </c>
      <c r="C19" s="10" t="n">
        <v>46169</v>
      </c>
      <c r="D19" s="5" t="s">
        <v>827</v>
      </c>
      <c r="E19" s="5" t="s">
        <v>226</v>
      </c>
      <c r="F19" s="5" t="s">
        <v>83</v>
      </c>
      <c r="G19" s="5" t="s">
        <v>464</v>
      </c>
      <c r="H19" s="5" t="s">
        <v>465</v>
      </c>
      <c r="I19" s="13" t="n">
        <v>380</v>
      </c>
      <c r="J19" s="5" t="s">
        <v>466</v>
      </c>
      <c r="K19" s="5" t="s">
        <v>1006</v>
      </c>
      <c r="L19" s="5" t="s">
        <v>228</v>
      </c>
    </row>
    <row r="20" customFormat="false" ht="15" hidden="false" customHeight="false" outlineLevel="0" collapsed="false">
      <c r="A20" s="5" t="s">
        <v>1007</v>
      </c>
      <c r="B20" s="5" t="s">
        <v>984</v>
      </c>
      <c r="C20" s="10" t="n">
        <v>46174</v>
      </c>
      <c r="D20" s="5" t="s">
        <v>827</v>
      </c>
      <c r="E20" s="5" t="s">
        <v>229</v>
      </c>
      <c r="F20" s="5" t="s">
        <v>90</v>
      </c>
      <c r="G20" s="5" t="s">
        <v>492</v>
      </c>
      <c r="H20" s="5" t="s">
        <v>493</v>
      </c>
      <c r="I20" s="13" t="n">
        <v>242</v>
      </c>
      <c r="J20" s="5" t="s">
        <v>486</v>
      </c>
      <c r="K20" s="5" t="s">
        <v>1008</v>
      </c>
      <c r="L20" s="5" t="s">
        <v>231</v>
      </c>
    </row>
    <row r="21" customFormat="false" ht="15" hidden="false" customHeight="false" outlineLevel="0" collapsed="false">
      <c r="A21" s="5" t="s">
        <v>1009</v>
      </c>
      <c r="B21" s="5" t="s">
        <v>984</v>
      </c>
      <c r="C21" s="10" t="n">
        <v>46175</v>
      </c>
      <c r="D21" s="5" t="s">
        <v>827</v>
      </c>
      <c r="E21" s="5" t="s">
        <v>232</v>
      </c>
      <c r="F21" s="5" t="s">
        <v>111</v>
      </c>
      <c r="G21" s="5" t="s">
        <v>480</v>
      </c>
      <c r="H21" s="5" t="s">
        <v>481</v>
      </c>
      <c r="I21" s="13" t="n">
        <v>220</v>
      </c>
      <c r="J21" s="5" t="s">
        <v>466</v>
      </c>
      <c r="K21" s="5" t="s">
        <v>1010</v>
      </c>
      <c r="L21" s="5" t="s">
        <v>234</v>
      </c>
    </row>
    <row r="22" customFormat="false" ht="15" hidden="false" customHeight="false" outlineLevel="0" collapsed="false">
      <c r="A22" s="5" t="s">
        <v>1011</v>
      </c>
      <c r="B22" s="5" t="s">
        <v>984</v>
      </c>
      <c r="C22" s="10" t="n">
        <v>46177</v>
      </c>
      <c r="D22" s="5" t="s">
        <v>827</v>
      </c>
      <c r="E22" s="5" t="s">
        <v>235</v>
      </c>
      <c r="F22" s="5" t="s">
        <v>62</v>
      </c>
      <c r="G22" s="5" t="s">
        <v>484</v>
      </c>
      <c r="H22" s="5" t="s">
        <v>485</v>
      </c>
      <c r="I22" s="13" t="n">
        <v>73</v>
      </c>
      <c r="J22" s="5" t="s">
        <v>486</v>
      </c>
      <c r="K22" s="5" t="s">
        <v>1012</v>
      </c>
      <c r="L22" s="5" t="s">
        <v>237</v>
      </c>
    </row>
    <row r="23" customFormat="false" ht="15" hidden="false" customHeight="false" outlineLevel="0" collapsed="false">
      <c r="A23" s="5" t="s">
        <v>1011</v>
      </c>
      <c r="B23" s="5" t="s">
        <v>984</v>
      </c>
      <c r="C23" s="10" t="n">
        <v>46177</v>
      </c>
      <c r="D23" s="5" t="s">
        <v>827</v>
      </c>
      <c r="E23" s="5" t="s">
        <v>235</v>
      </c>
      <c r="F23" s="5" t="s">
        <v>62</v>
      </c>
      <c r="G23" s="5" t="s">
        <v>464</v>
      </c>
      <c r="H23" s="5" t="s">
        <v>465</v>
      </c>
      <c r="I23" s="13" t="n">
        <v>94</v>
      </c>
      <c r="J23" s="5" t="s">
        <v>466</v>
      </c>
      <c r="K23" s="5" t="s">
        <v>1013</v>
      </c>
      <c r="L23" s="5" t="s">
        <v>237</v>
      </c>
    </row>
    <row r="24" customFormat="false" ht="15" hidden="false" customHeight="false" outlineLevel="0" collapsed="false">
      <c r="A24" s="5" t="s">
        <v>1011</v>
      </c>
      <c r="B24" s="5" t="s">
        <v>984</v>
      </c>
      <c r="C24" s="10" t="n">
        <v>46177</v>
      </c>
      <c r="D24" s="5" t="s">
        <v>827</v>
      </c>
      <c r="E24" s="5" t="s">
        <v>235</v>
      </c>
      <c r="F24" s="5" t="s">
        <v>62</v>
      </c>
      <c r="G24" s="5" t="s">
        <v>487</v>
      </c>
      <c r="H24" s="5" t="s">
        <v>488</v>
      </c>
      <c r="I24" s="13" t="n">
        <v>15</v>
      </c>
      <c r="J24" s="5" t="s">
        <v>489</v>
      </c>
      <c r="K24" s="5" t="s">
        <v>1014</v>
      </c>
      <c r="L24" s="5" t="s">
        <v>237</v>
      </c>
    </row>
    <row r="25" customFormat="false" ht="15" hidden="false" customHeight="false" outlineLevel="0" collapsed="false">
      <c r="A25" s="5" t="s">
        <v>243</v>
      </c>
      <c r="B25" s="5" t="s">
        <v>984</v>
      </c>
      <c r="C25" s="10" t="n">
        <v>46181</v>
      </c>
      <c r="D25" s="5" t="s">
        <v>827</v>
      </c>
      <c r="E25" s="5" t="s">
        <v>242</v>
      </c>
      <c r="F25" s="5" t="s">
        <v>126</v>
      </c>
      <c r="G25" s="5" t="s">
        <v>464</v>
      </c>
      <c r="H25" s="5" t="s">
        <v>465</v>
      </c>
      <c r="I25" s="13" t="n">
        <v>24</v>
      </c>
      <c r="J25" s="5" t="s">
        <v>466</v>
      </c>
      <c r="K25" s="5" t="s">
        <v>1015</v>
      </c>
      <c r="L25" s="5" t="s">
        <v>244</v>
      </c>
    </row>
    <row r="26" customFormat="false" ht="15" hidden="false" customHeight="false" outlineLevel="0" collapsed="false">
      <c r="A26" s="5" t="s">
        <v>243</v>
      </c>
      <c r="B26" s="5" t="s">
        <v>984</v>
      </c>
      <c r="C26" s="10" t="n">
        <v>46181</v>
      </c>
      <c r="D26" s="5" t="s">
        <v>827</v>
      </c>
      <c r="E26" s="5" t="s">
        <v>242</v>
      </c>
      <c r="F26" s="5" t="s">
        <v>126</v>
      </c>
      <c r="G26" s="5" t="s">
        <v>492</v>
      </c>
      <c r="H26" s="5" t="s">
        <v>493</v>
      </c>
      <c r="I26" s="13" t="n">
        <v>15</v>
      </c>
      <c r="J26" s="5" t="s">
        <v>486</v>
      </c>
      <c r="K26" s="5" t="s">
        <v>1016</v>
      </c>
      <c r="L26" s="5" t="s">
        <v>244</v>
      </c>
    </row>
    <row r="27" customFormat="false" ht="15" hidden="false" customHeight="false" outlineLevel="0" collapsed="false">
      <c r="A27" s="5" t="s">
        <v>246</v>
      </c>
      <c r="B27" s="5" t="s">
        <v>984</v>
      </c>
      <c r="C27" s="10" t="n">
        <v>46182</v>
      </c>
      <c r="D27" s="5" t="s">
        <v>827</v>
      </c>
      <c r="E27" s="5" t="s">
        <v>245</v>
      </c>
      <c r="F27" s="5" t="s">
        <v>76</v>
      </c>
      <c r="G27" s="5" t="s">
        <v>480</v>
      </c>
      <c r="H27" s="5" t="s">
        <v>481</v>
      </c>
      <c r="I27" s="13" t="n">
        <v>253</v>
      </c>
      <c r="J27" s="5" t="s">
        <v>466</v>
      </c>
      <c r="K27" s="5" t="s">
        <v>1017</v>
      </c>
      <c r="L27" s="5" t="s">
        <v>247</v>
      </c>
    </row>
    <row r="28" customFormat="false" ht="15" hidden="false" customHeight="false" outlineLevel="0" collapsed="false">
      <c r="A28" s="5" t="s">
        <v>246</v>
      </c>
      <c r="B28" s="5" t="s">
        <v>984</v>
      </c>
      <c r="C28" s="10" t="n">
        <v>46182</v>
      </c>
      <c r="D28" s="5" t="s">
        <v>827</v>
      </c>
      <c r="E28" s="5" t="s">
        <v>245</v>
      </c>
      <c r="F28" s="5" t="s">
        <v>76</v>
      </c>
      <c r="G28" s="5" t="s">
        <v>474</v>
      </c>
      <c r="H28" s="5" t="s">
        <v>475</v>
      </c>
      <c r="I28" s="13" t="n">
        <v>115</v>
      </c>
      <c r="J28" s="5" t="s">
        <v>466</v>
      </c>
      <c r="K28" s="5" t="s">
        <v>1018</v>
      </c>
      <c r="L28" s="5" t="s">
        <v>247</v>
      </c>
    </row>
    <row r="29" customFormat="false" ht="15" hidden="false" customHeight="false" outlineLevel="0" collapsed="false">
      <c r="A29" s="5" t="s">
        <v>1019</v>
      </c>
      <c r="B29" s="5" t="s">
        <v>984</v>
      </c>
      <c r="C29" s="10" t="n">
        <v>46183</v>
      </c>
      <c r="D29" s="5" t="s">
        <v>827</v>
      </c>
      <c r="E29" s="5" t="s">
        <v>248</v>
      </c>
      <c r="F29" s="5" t="s">
        <v>47</v>
      </c>
      <c r="G29" s="5" t="s">
        <v>492</v>
      </c>
      <c r="H29" s="5" t="s">
        <v>493</v>
      </c>
      <c r="I29" s="13" t="n">
        <v>157</v>
      </c>
      <c r="J29" s="5" t="s">
        <v>486</v>
      </c>
      <c r="K29" s="5" t="s">
        <v>1020</v>
      </c>
      <c r="L29" s="5" t="s">
        <v>250</v>
      </c>
    </row>
    <row r="30" customFormat="false" ht="15" hidden="false" customHeight="false" outlineLevel="0" collapsed="false">
      <c r="A30" s="5" t="s">
        <v>252</v>
      </c>
      <c r="B30" s="5" t="s">
        <v>984</v>
      </c>
      <c r="C30" s="10" t="n">
        <v>46183</v>
      </c>
      <c r="D30" s="5" t="s">
        <v>827</v>
      </c>
      <c r="E30" s="5" t="s">
        <v>251</v>
      </c>
      <c r="F30" s="5" t="s">
        <v>126</v>
      </c>
      <c r="G30" s="5" t="s">
        <v>492</v>
      </c>
      <c r="H30" s="5" t="s">
        <v>493</v>
      </c>
      <c r="I30" s="13" t="n">
        <v>12</v>
      </c>
      <c r="J30" s="5" t="s">
        <v>486</v>
      </c>
      <c r="K30" s="5" t="s">
        <v>1021</v>
      </c>
      <c r="L30" s="5" t="s">
        <v>253</v>
      </c>
    </row>
    <row r="31" customFormat="false" ht="15" hidden="false" customHeight="false" outlineLevel="0" collapsed="false">
      <c r="A31" s="5" t="s">
        <v>252</v>
      </c>
      <c r="B31" s="5" t="s">
        <v>984</v>
      </c>
      <c r="C31" s="10" t="n">
        <v>46183</v>
      </c>
      <c r="D31" s="5" t="s">
        <v>827</v>
      </c>
      <c r="E31" s="5" t="s">
        <v>251</v>
      </c>
      <c r="F31" s="5" t="s">
        <v>126</v>
      </c>
      <c r="G31" s="5" t="s">
        <v>474</v>
      </c>
      <c r="H31" s="5" t="s">
        <v>475</v>
      </c>
      <c r="I31" s="13" t="n">
        <v>5</v>
      </c>
      <c r="J31" s="5" t="s">
        <v>466</v>
      </c>
      <c r="K31" s="5" t="s">
        <v>1022</v>
      </c>
      <c r="L31" s="5" t="s">
        <v>253</v>
      </c>
    </row>
    <row r="32" customFormat="false" ht="15" hidden="false" customHeight="false" outlineLevel="0" collapsed="false">
      <c r="A32" s="5" t="s">
        <v>258</v>
      </c>
      <c r="B32" s="5" t="s">
        <v>984</v>
      </c>
      <c r="C32" s="10" t="n">
        <v>46183</v>
      </c>
      <c r="D32" s="5" t="s">
        <v>827</v>
      </c>
      <c r="E32" s="5" t="s">
        <v>257</v>
      </c>
      <c r="F32" s="5" t="s">
        <v>126</v>
      </c>
      <c r="G32" s="5" t="s">
        <v>480</v>
      </c>
      <c r="H32" s="5" t="s">
        <v>481</v>
      </c>
      <c r="I32" s="13" t="n">
        <v>7</v>
      </c>
      <c r="J32" s="5" t="s">
        <v>466</v>
      </c>
      <c r="K32" s="5" t="s">
        <v>1023</v>
      </c>
      <c r="L32" s="5" t="s">
        <v>259</v>
      </c>
    </row>
    <row r="33" customFormat="false" ht="15" hidden="false" customHeight="false" outlineLevel="0" collapsed="false">
      <c r="A33" s="5" t="s">
        <v>1024</v>
      </c>
      <c r="B33" s="5" t="s">
        <v>984</v>
      </c>
      <c r="C33" s="10" t="n">
        <v>46187</v>
      </c>
      <c r="D33" s="5" t="s">
        <v>827</v>
      </c>
      <c r="E33" s="5" t="s">
        <v>254</v>
      </c>
      <c r="F33" s="5" t="s">
        <v>104</v>
      </c>
      <c r="G33" s="5" t="s">
        <v>498</v>
      </c>
      <c r="H33" s="5" t="s">
        <v>499</v>
      </c>
      <c r="I33" s="13" t="n">
        <v>34</v>
      </c>
      <c r="J33" s="5" t="s">
        <v>500</v>
      </c>
      <c r="K33" s="5" t="s">
        <v>1025</v>
      </c>
      <c r="L33" s="5" t="s">
        <v>256</v>
      </c>
    </row>
    <row r="34" customFormat="false" ht="15" hidden="false" customHeight="false" outlineLevel="0" collapsed="false">
      <c r="A34" s="5" t="s">
        <v>261</v>
      </c>
      <c r="B34" s="5" t="s">
        <v>984</v>
      </c>
      <c r="C34" s="10" t="n">
        <v>46190</v>
      </c>
      <c r="D34" s="5" t="s">
        <v>827</v>
      </c>
      <c r="E34" s="5" t="s">
        <v>260</v>
      </c>
      <c r="F34" s="5" t="s">
        <v>118</v>
      </c>
      <c r="G34" s="5" t="s">
        <v>501</v>
      </c>
      <c r="H34" s="5" t="s">
        <v>502</v>
      </c>
      <c r="I34" s="13" t="n">
        <v>60</v>
      </c>
      <c r="J34" s="5" t="s">
        <v>466</v>
      </c>
      <c r="K34" s="5" t="s">
        <v>1026</v>
      </c>
      <c r="L34" s="5" t="s">
        <v>262</v>
      </c>
    </row>
    <row r="35" customFormat="false" ht="15" hidden="false" customHeight="false" outlineLevel="0" collapsed="false">
      <c r="A35" s="5" t="s">
        <v>264</v>
      </c>
      <c r="B35" s="5" t="s">
        <v>984</v>
      </c>
      <c r="C35" s="10" t="n">
        <v>46190</v>
      </c>
      <c r="D35" s="5" t="s">
        <v>827</v>
      </c>
      <c r="E35" s="5" t="s">
        <v>263</v>
      </c>
      <c r="F35" s="5" t="s">
        <v>90</v>
      </c>
      <c r="G35" s="5" t="s">
        <v>474</v>
      </c>
      <c r="H35" s="5" t="s">
        <v>475</v>
      </c>
      <c r="I35" s="13" t="n">
        <v>122</v>
      </c>
      <c r="J35" s="5" t="s">
        <v>466</v>
      </c>
      <c r="K35" s="5" t="s">
        <v>1027</v>
      </c>
      <c r="L35" s="5" t="s">
        <v>265</v>
      </c>
    </row>
    <row r="36" customFormat="false" ht="15" hidden="false" customHeight="false" outlineLevel="0" collapsed="false">
      <c r="A36" s="5" t="s">
        <v>264</v>
      </c>
      <c r="B36" s="5" t="s">
        <v>984</v>
      </c>
      <c r="C36" s="10" t="n">
        <v>46190</v>
      </c>
      <c r="D36" s="5" t="s">
        <v>827</v>
      </c>
      <c r="E36" s="5" t="s">
        <v>263</v>
      </c>
      <c r="F36" s="5" t="s">
        <v>90</v>
      </c>
      <c r="G36" s="5" t="s">
        <v>492</v>
      </c>
      <c r="H36" s="5" t="s">
        <v>493</v>
      </c>
      <c r="I36" s="13" t="n">
        <v>111</v>
      </c>
      <c r="J36" s="5" t="s">
        <v>486</v>
      </c>
      <c r="K36" s="5" t="s">
        <v>1028</v>
      </c>
      <c r="L36" s="5" t="s">
        <v>265</v>
      </c>
    </row>
    <row r="37" customFormat="false" ht="15" hidden="false" customHeight="false" outlineLevel="0" collapsed="false">
      <c r="A37" s="5" t="s">
        <v>264</v>
      </c>
      <c r="B37" s="5" t="s">
        <v>984</v>
      </c>
      <c r="C37" s="10" t="n">
        <v>46190</v>
      </c>
      <c r="D37" s="5" t="s">
        <v>827</v>
      </c>
      <c r="E37" s="5" t="s">
        <v>263</v>
      </c>
      <c r="F37" s="5" t="s">
        <v>90</v>
      </c>
      <c r="G37" s="5" t="s">
        <v>480</v>
      </c>
      <c r="H37" s="5" t="s">
        <v>481</v>
      </c>
      <c r="I37" s="13" t="n">
        <v>384</v>
      </c>
      <c r="J37" s="5" t="s">
        <v>466</v>
      </c>
      <c r="K37" s="5" t="s">
        <v>1029</v>
      </c>
      <c r="L37" s="5" t="s">
        <v>265</v>
      </c>
    </row>
    <row r="38" customFormat="false" ht="15" hidden="false" customHeight="false" outlineLevel="0" collapsed="false">
      <c r="A38" s="5" t="s">
        <v>1030</v>
      </c>
      <c r="B38" s="5" t="s">
        <v>984</v>
      </c>
      <c r="C38" s="10" t="n">
        <v>46195</v>
      </c>
      <c r="D38" s="5" t="s">
        <v>827</v>
      </c>
      <c r="E38" s="5" t="s">
        <v>266</v>
      </c>
      <c r="F38" s="5" t="s">
        <v>55</v>
      </c>
      <c r="G38" s="5" t="s">
        <v>501</v>
      </c>
      <c r="H38" s="5" t="s">
        <v>502</v>
      </c>
      <c r="I38" s="13" t="n">
        <v>134</v>
      </c>
      <c r="J38" s="5" t="s">
        <v>466</v>
      </c>
      <c r="K38" s="5" t="s">
        <v>1031</v>
      </c>
      <c r="L38" s="5" t="s">
        <v>268</v>
      </c>
    </row>
    <row r="39" customFormat="false" ht="15" hidden="false" customHeight="false" outlineLevel="0" collapsed="false">
      <c r="A39" s="5" t="s">
        <v>270</v>
      </c>
      <c r="B39" s="5" t="s">
        <v>984</v>
      </c>
      <c r="C39" s="10" t="n">
        <v>46196</v>
      </c>
      <c r="D39" s="5" t="s">
        <v>827</v>
      </c>
      <c r="E39" s="5" t="s">
        <v>269</v>
      </c>
      <c r="F39" s="5" t="s">
        <v>126</v>
      </c>
      <c r="G39" s="5" t="s">
        <v>480</v>
      </c>
      <c r="H39" s="5" t="s">
        <v>481</v>
      </c>
      <c r="I39" s="13" t="n">
        <v>11</v>
      </c>
      <c r="J39" s="5" t="s">
        <v>466</v>
      </c>
      <c r="K39" s="5" t="s">
        <v>1032</v>
      </c>
      <c r="L39" s="5" t="s">
        <v>271</v>
      </c>
    </row>
    <row r="40" customFormat="false" ht="15" hidden="false" customHeight="false" outlineLevel="0" collapsed="false">
      <c r="A40" s="5" t="s">
        <v>1033</v>
      </c>
      <c r="B40" s="5" t="s">
        <v>984</v>
      </c>
      <c r="C40" s="10" t="n">
        <v>46197</v>
      </c>
      <c r="D40" s="5" t="s">
        <v>827</v>
      </c>
      <c r="E40" s="5" t="s">
        <v>272</v>
      </c>
      <c r="F40" s="5" t="s">
        <v>69</v>
      </c>
      <c r="G40" s="5" t="s">
        <v>474</v>
      </c>
      <c r="H40" s="5" t="s">
        <v>475</v>
      </c>
      <c r="I40" s="13" t="n">
        <v>220</v>
      </c>
      <c r="J40" s="5" t="s">
        <v>466</v>
      </c>
      <c r="K40" s="5" t="s">
        <v>1034</v>
      </c>
      <c r="L40" s="5" t="s">
        <v>274</v>
      </c>
    </row>
    <row r="41" customFormat="false" ht="15" hidden="false" customHeight="false" outlineLevel="0" collapsed="false">
      <c r="A41" s="5" t="s">
        <v>279</v>
      </c>
      <c r="B41" s="5" t="s">
        <v>984</v>
      </c>
      <c r="C41" s="10" t="n">
        <v>46202</v>
      </c>
      <c r="D41" s="5" t="s">
        <v>827</v>
      </c>
      <c r="E41" s="5" t="s">
        <v>278</v>
      </c>
      <c r="F41" s="5" t="s">
        <v>83</v>
      </c>
      <c r="G41" s="5" t="s">
        <v>464</v>
      </c>
      <c r="H41" s="5" t="s">
        <v>465</v>
      </c>
      <c r="I41" s="13" t="n">
        <v>435</v>
      </c>
      <c r="J41" s="5" t="s">
        <v>466</v>
      </c>
      <c r="K41" s="5" t="s">
        <v>1035</v>
      </c>
      <c r="L41" s="5" t="s">
        <v>280</v>
      </c>
    </row>
    <row r="42" customFormat="false" ht="15" hidden="false" customHeight="false" outlineLevel="0" collapsed="false">
      <c r="A42" s="5" t="s">
        <v>279</v>
      </c>
      <c r="B42" s="5" t="s">
        <v>984</v>
      </c>
      <c r="C42" s="10" t="n">
        <v>46202</v>
      </c>
      <c r="D42" s="5" t="s">
        <v>827</v>
      </c>
      <c r="E42" s="5" t="s">
        <v>278</v>
      </c>
      <c r="F42" s="5" t="s">
        <v>83</v>
      </c>
      <c r="G42" s="5" t="s">
        <v>484</v>
      </c>
      <c r="H42" s="5" t="s">
        <v>485</v>
      </c>
      <c r="I42" s="13" t="n">
        <v>64</v>
      </c>
      <c r="J42" s="5" t="s">
        <v>486</v>
      </c>
      <c r="K42" s="5" t="s">
        <v>1036</v>
      </c>
      <c r="L42" s="5" t="s">
        <v>280</v>
      </c>
    </row>
    <row r="43" customFormat="false" ht="15" hidden="false" customHeight="false" outlineLevel="0" collapsed="false">
      <c r="A43" s="5" t="s">
        <v>1037</v>
      </c>
      <c r="B43" s="5" t="s">
        <v>984</v>
      </c>
      <c r="C43" s="10" t="n">
        <v>46204</v>
      </c>
      <c r="D43" s="5" t="s">
        <v>827</v>
      </c>
      <c r="E43" s="5" t="s">
        <v>275</v>
      </c>
      <c r="F43" s="5" t="s">
        <v>62</v>
      </c>
      <c r="G43" s="5" t="s">
        <v>492</v>
      </c>
      <c r="H43" s="5" t="s">
        <v>493</v>
      </c>
      <c r="I43" s="13" t="n">
        <v>240</v>
      </c>
      <c r="J43" s="5" t="s">
        <v>486</v>
      </c>
      <c r="K43" s="5" t="s">
        <v>1038</v>
      </c>
      <c r="L43" s="5" t="s">
        <v>277</v>
      </c>
    </row>
    <row r="44" customFormat="false" ht="15" hidden="false" customHeight="false" outlineLevel="0" collapsed="false">
      <c r="A44" s="5" t="s">
        <v>1039</v>
      </c>
      <c r="B44" s="5" t="s">
        <v>984</v>
      </c>
      <c r="C44" s="10" t="n">
        <v>46205</v>
      </c>
      <c r="D44" s="5" t="s">
        <v>827</v>
      </c>
      <c r="E44" s="5" t="s">
        <v>281</v>
      </c>
      <c r="F44" s="5" t="s">
        <v>38</v>
      </c>
      <c r="G44" s="5" t="s">
        <v>484</v>
      </c>
      <c r="H44" s="5" t="s">
        <v>485</v>
      </c>
      <c r="I44" s="13" t="n">
        <v>51</v>
      </c>
      <c r="J44" s="5" t="s">
        <v>486</v>
      </c>
      <c r="K44" s="5" t="s">
        <v>1040</v>
      </c>
      <c r="L44" s="5" t="s">
        <v>283</v>
      </c>
    </row>
    <row r="45" customFormat="false" ht="15" hidden="false" customHeight="false" outlineLevel="0" collapsed="false">
      <c r="A45" s="5" t="s">
        <v>289</v>
      </c>
      <c r="B45" s="5" t="s">
        <v>984</v>
      </c>
      <c r="C45" s="10" t="n">
        <v>46210</v>
      </c>
      <c r="D45" s="5" t="s">
        <v>827</v>
      </c>
      <c r="E45" s="5" t="s">
        <v>287</v>
      </c>
      <c r="F45" s="5" t="s">
        <v>97</v>
      </c>
      <c r="G45" s="5" t="s">
        <v>474</v>
      </c>
      <c r="H45" s="5" t="s">
        <v>475</v>
      </c>
      <c r="I45" s="13" t="n">
        <v>275</v>
      </c>
      <c r="J45" s="5" t="s">
        <v>466</v>
      </c>
      <c r="K45" s="5" t="s">
        <v>1041</v>
      </c>
      <c r="L45" s="5" t="s">
        <v>290</v>
      </c>
    </row>
    <row r="46" customFormat="false" ht="15" hidden="false" customHeight="false" outlineLevel="0" collapsed="false">
      <c r="A46" s="5" t="s">
        <v>289</v>
      </c>
      <c r="B46" s="5" t="s">
        <v>984</v>
      </c>
      <c r="C46" s="10" t="n">
        <v>46210</v>
      </c>
      <c r="D46" s="5" t="s">
        <v>827</v>
      </c>
      <c r="E46" s="5" t="s">
        <v>287</v>
      </c>
      <c r="F46" s="5" t="s">
        <v>97</v>
      </c>
      <c r="G46" s="5" t="s">
        <v>501</v>
      </c>
      <c r="H46" s="5" t="s">
        <v>502</v>
      </c>
      <c r="I46" s="13" t="n">
        <v>50</v>
      </c>
      <c r="J46" s="5" t="s">
        <v>466</v>
      </c>
      <c r="K46" s="5" t="s">
        <v>1042</v>
      </c>
      <c r="L46" s="5" t="s">
        <v>290</v>
      </c>
    </row>
    <row r="47" customFormat="false" ht="15" hidden="false" customHeight="false" outlineLevel="0" collapsed="false">
      <c r="A47" s="5" t="s">
        <v>1043</v>
      </c>
      <c r="B47" s="5" t="s">
        <v>984</v>
      </c>
      <c r="C47" s="10" t="n">
        <v>46212</v>
      </c>
      <c r="D47" s="5" t="s">
        <v>827</v>
      </c>
      <c r="E47" s="5" t="s">
        <v>291</v>
      </c>
      <c r="F47" s="5" t="s">
        <v>118</v>
      </c>
      <c r="G47" s="5" t="s">
        <v>490</v>
      </c>
      <c r="H47" s="5" t="s">
        <v>491</v>
      </c>
      <c r="I47" s="13" t="n">
        <v>108</v>
      </c>
      <c r="J47" s="5" t="s">
        <v>466</v>
      </c>
      <c r="K47" s="5" t="s">
        <v>1044</v>
      </c>
      <c r="L47" s="5" t="s">
        <v>293</v>
      </c>
    </row>
    <row r="48" customFormat="false" ht="15" hidden="false" customHeight="false" outlineLevel="0" collapsed="false">
      <c r="A48" s="5" t="s">
        <v>1043</v>
      </c>
      <c r="B48" s="5" t="s">
        <v>984</v>
      </c>
      <c r="C48" s="10" t="n">
        <v>46212</v>
      </c>
      <c r="D48" s="5" t="s">
        <v>827</v>
      </c>
      <c r="E48" s="5" t="s">
        <v>291</v>
      </c>
      <c r="F48" s="5" t="s">
        <v>118</v>
      </c>
      <c r="G48" s="5" t="s">
        <v>480</v>
      </c>
      <c r="H48" s="5" t="s">
        <v>481</v>
      </c>
      <c r="I48" s="13" t="n">
        <v>318</v>
      </c>
      <c r="J48" s="5" t="s">
        <v>466</v>
      </c>
      <c r="K48" s="5" t="s">
        <v>1045</v>
      </c>
      <c r="L48" s="5" t="s">
        <v>293</v>
      </c>
    </row>
    <row r="49" customFormat="false" ht="15" hidden="false" customHeight="false" outlineLevel="0" collapsed="false">
      <c r="A49" s="5" t="s">
        <v>1046</v>
      </c>
      <c r="B49" s="5" t="s">
        <v>984</v>
      </c>
      <c r="C49" s="10" t="n">
        <v>46215</v>
      </c>
      <c r="D49" s="5" t="s">
        <v>827</v>
      </c>
      <c r="E49" s="5" t="s">
        <v>294</v>
      </c>
      <c r="F49" s="5" t="s">
        <v>55</v>
      </c>
      <c r="G49" s="5" t="s">
        <v>464</v>
      </c>
      <c r="H49" s="5" t="s">
        <v>465</v>
      </c>
      <c r="I49" s="13" t="n">
        <v>265</v>
      </c>
      <c r="J49" s="5" t="s">
        <v>466</v>
      </c>
      <c r="K49" s="5" t="s">
        <v>1047</v>
      </c>
      <c r="L49" s="5" t="s">
        <v>296</v>
      </c>
    </row>
    <row r="50" customFormat="false" ht="15" hidden="false" customHeight="false" outlineLevel="0" collapsed="false">
      <c r="A50" s="5" t="s">
        <v>1048</v>
      </c>
      <c r="B50" s="5" t="s">
        <v>984</v>
      </c>
      <c r="C50" s="10" t="n">
        <v>46215</v>
      </c>
      <c r="D50" s="5" t="s">
        <v>827</v>
      </c>
      <c r="E50" s="5" t="s">
        <v>297</v>
      </c>
      <c r="F50" s="5" t="s">
        <v>126</v>
      </c>
      <c r="G50" s="5" t="s">
        <v>492</v>
      </c>
      <c r="H50" s="5" t="s">
        <v>493</v>
      </c>
      <c r="I50" s="13" t="n">
        <v>17</v>
      </c>
      <c r="J50" s="5" t="s">
        <v>486</v>
      </c>
      <c r="K50" s="5" t="s">
        <v>1049</v>
      </c>
      <c r="L50" s="5" t="s">
        <v>299</v>
      </c>
    </row>
    <row r="51" customFormat="false" ht="15" hidden="false" customHeight="false" outlineLevel="0" collapsed="false">
      <c r="A51" s="5" t="s">
        <v>301</v>
      </c>
      <c r="B51" s="5" t="s">
        <v>984</v>
      </c>
      <c r="C51" s="10" t="n">
        <v>46215</v>
      </c>
      <c r="D51" s="5" t="s">
        <v>827</v>
      </c>
      <c r="E51" s="5" t="s">
        <v>300</v>
      </c>
      <c r="F51" s="5" t="s">
        <v>126</v>
      </c>
      <c r="G51" s="5" t="s">
        <v>474</v>
      </c>
      <c r="H51" s="5" t="s">
        <v>475</v>
      </c>
      <c r="I51" s="13" t="n">
        <v>8</v>
      </c>
      <c r="J51" s="5" t="s">
        <v>466</v>
      </c>
      <c r="K51" s="5" t="s">
        <v>1050</v>
      </c>
      <c r="L51" s="5" t="s">
        <v>302</v>
      </c>
    </row>
    <row r="52" customFormat="false" ht="15" hidden="false" customHeight="false" outlineLevel="0" collapsed="false">
      <c r="A52" s="5" t="s">
        <v>307</v>
      </c>
      <c r="B52" s="5" t="s">
        <v>984</v>
      </c>
      <c r="C52" s="10" t="n">
        <v>46216</v>
      </c>
      <c r="D52" s="5" t="s">
        <v>827</v>
      </c>
      <c r="E52" s="5" t="s">
        <v>306</v>
      </c>
      <c r="F52" s="5" t="s">
        <v>126</v>
      </c>
      <c r="G52" s="5" t="s">
        <v>492</v>
      </c>
      <c r="H52" s="5" t="s">
        <v>493</v>
      </c>
      <c r="I52" s="13" t="n">
        <v>10</v>
      </c>
      <c r="J52" s="5" t="s">
        <v>486</v>
      </c>
      <c r="K52" s="5" t="s">
        <v>1051</v>
      </c>
      <c r="L52" s="5" t="s">
        <v>308</v>
      </c>
    </row>
    <row r="53" customFormat="false" ht="15" hidden="false" customHeight="false" outlineLevel="0" collapsed="false">
      <c r="A53" s="5" t="s">
        <v>307</v>
      </c>
      <c r="B53" s="5" t="s">
        <v>984</v>
      </c>
      <c r="C53" s="10" t="n">
        <v>46216</v>
      </c>
      <c r="D53" s="5" t="s">
        <v>827</v>
      </c>
      <c r="E53" s="5" t="s">
        <v>306</v>
      </c>
      <c r="F53" s="5" t="s">
        <v>126</v>
      </c>
      <c r="G53" s="5" t="s">
        <v>474</v>
      </c>
      <c r="H53" s="5" t="s">
        <v>475</v>
      </c>
      <c r="I53" s="13" t="n">
        <v>8</v>
      </c>
      <c r="J53" s="5" t="s">
        <v>466</v>
      </c>
      <c r="K53" s="5" t="s">
        <v>1050</v>
      </c>
      <c r="L53" s="5" t="s">
        <v>308</v>
      </c>
    </row>
    <row r="54" customFormat="false" ht="15" hidden="false" customHeight="false" outlineLevel="0" collapsed="false">
      <c r="A54" s="5" t="s">
        <v>1052</v>
      </c>
      <c r="B54" s="5" t="s">
        <v>984</v>
      </c>
      <c r="C54" s="10" t="n">
        <v>46219</v>
      </c>
      <c r="D54" s="5" t="s">
        <v>827</v>
      </c>
      <c r="E54" s="5" t="s">
        <v>309</v>
      </c>
      <c r="F54" s="5" t="s">
        <v>90</v>
      </c>
      <c r="G54" s="5" t="s">
        <v>474</v>
      </c>
      <c r="H54" s="5" t="s">
        <v>475</v>
      </c>
      <c r="I54" s="13" t="n">
        <v>179</v>
      </c>
      <c r="J54" s="5" t="s">
        <v>466</v>
      </c>
      <c r="K54" s="5" t="s">
        <v>1053</v>
      </c>
      <c r="L54" s="5" t="s">
        <v>311</v>
      </c>
    </row>
    <row r="55" customFormat="false" ht="15" hidden="false" customHeight="false" outlineLevel="0" collapsed="false">
      <c r="A55" s="5" t="s">
        <v>1054</v>
      </c>
      <c r="B55" s="5" t="s">
        <v>984</v>
      </c>
      <c r="C55" s="10" t="n">
        <v>46222</v>
      </c>
      <c r="D55" s="5" t="s">
        <v>827</v>
      </c>
      <c r="E55" s="5" t="s">
        <v>321</v>
      </c>
      <c r="F55" s="5" t="s">
        <v>76</v>
      </c>
      <c r="G55" s="5" t="s">
        <v>505</v>
      </c>
      <c r="H55" s="5" t="s">
        <v>506</v>
      </c>
      <c r="I55" s="13" t="n">
        <v>5</v>
      </c>
      <c r="J55" s="5" t="s">
        <v>507</v>
      </c>
      <c r="K55" s="5" t="s">
        <v>1055</v>
      </c>
      <c r="L55" s="5" t="s">
        <v>323</v>
      </c>
    </row>
    <row r="56" customFormat="false" ht="15" hidden="false" customHeight="false" outlineLevel="0" collapsed="false">
      <c r="A56" s="5" t="s">
        <v>1054</v>
      </c>
      <c r="B56" s="5" t="s">
        <v>984</v>
      </c>
      <c r="C56" s="10" t="n">
        <v>46222</v>
      </c>
      <c r="D56" s="5" t="s">
        <v>827</v>
      </c>
      <c r="E56" s="5" t="s">
        <v>321</v>
      </c>
      <c r="F56" s="5" t="s">
        <v>76</v>
      </c>
      <c r="G56" s="5" t="s">
        <v>474</v>
      </c>
      <c r="H56" s="5" t="s">
        <v>475</v>
      </c>
      <c r="I56" s="13" t="n">
        <v>260</v>
      </c>
      <c r="J56" s="5" t="s">
        <v>466</v>
      </c>
      <c r="K56" s="5" t="s">
        <v>1056</v>
      </c>
      <c r="L56" s="5" t="s">
        <v>323</v>
      </c>
    </row>
    <row r="57" customFormat="false" ht="15" hidden="false" customHeight="false" outlineLevel="0" collapsed="false">
      <c r="A57" s="5" t="s">
        <v>1054</v>
      </c>
      <c r="B57" s="5" t="s">
        <v>984</v>
      </c>
      <c r="C57" s="10" t="n">
        <v>46222</v>
      </c>
      <c r="D57" s="5" t="s">
        <v>827</v>
      </c>
      <c r="E57" s="5" t="s">
        <v>321</v>
      </c>
      <c r="F57" s="5" t="s">
        <v>76</v>
      </c>
      <c r="G57" s="5" t="s">
        <v>492</v>
      </c>
      <c r="H57" s="5" t="s">
        <v>493</v>
      </c>
      <c r="I57" s="13" t="n">
        <v>173</v>
      </c>
      <c r="J57" s="5" t="s">
        <v>486</v>
      </c>
      <c r="K57" s="5" t="s">
        <v>1057</v>
      </c>
      <c r="L57" s="5" t="s">
        <v>323</v>
      </c>
    </row>
    <row r="58" customFormat="false" ht="15" hidden="false" customHeight="false" outlineLevel="0" collapsed="false">
      <c r="A58" s="5" t="s">
        <v>1058</v>
      </c>
      <c r="B58" s="5" t="s">
        <v>984</v>
      </c>
      <c r="C58" s="10" t="n">
        <v>46223</v>
      </c>
      <c r="D58" s="5" t="s">
        <v>827</v>
      </c>
      <c r="E58" s="5" t="s">
        <v>312</v>
      </c>
      <c r="F58" s="5" t="s">
        <v>62</v>
      </c>
      <c r="G58" s="5" t="s">
        <v>474</v>
      </c>
      <c r="H58" s="5" t="s">
        <v>475</v>
      </c>
      <c r="I58" s="13" t="n">
        <v>259</v>
      </c>
      <c r="J58" s="5" t="s">
        <v>466</v>
      </c>
      <c r="K58" s="5" t="s">
        <v>1059</v>
      </c>
      <c r="L58" s="5" t="s">
        <v>314</v>
      </c>
    </row>
    <row r="59" customFormat="false" ht="15" hidden="false" customHeight="false" outlineLevel="0" collapsed="false">
      <c r="A59" s="5" t="s">
        <v>1060</v>
      </c>
      <c r="B59" s="5" t="s">
        <v>984</v>
      </c>
      <c r="C59" s="10" t="n">
        <v>46223</v>
      </c>
      <c r="D59" s="5" t="s">
        <v>827</v>
      </c>
      <c r="E59" s="5" t="s">
        <v>318</v>
      </c>
      <c r="F59" s="5" t="s">
        <v>38</v>
      </c>
      <c r="G59" s="5" t="s">
        <v>490</v>
      </c>
      <c r="H59" s="5" t="s">
        <v>491</v>
      </c>
      <c r="I59" s="13" t="n">
        <v>146</v>
      </c>
      <c r="J59" s="5" t="s">
        <v>466</v>
      </c>
      <c r="K59" s="5" t="s">
        <v>1061</v>
      </c>
      <c r="L59" s="5" t="s">
        <v>320</v>
      </c>
    </row>
    <row r="60" customFormat="false" ht="15" hidden="false" customHeight="false" outlineLevel="0" collapsed="false">
      <c r="A60" s="5" t="s">
        <v>1060</v>
      </c>
      <c r="B60" s="5" t="s">
        <v>984</v>
      </c>
      <c r="C60" s="10" t="n">
        <v>46223</v>
      </c>
      <c r="D60" s="5" t="s">
        <v>827</v>
      </c>
      <c r="E60" s="5" t="s">
        <v>318</v>
      </c>
      <c r="F60" s="5" t="s">
        <v>38</v>
      </c>
      <c r="G60" s="5" t="s">
        <v>484</v>
      </c>
      <c r="H60" s="5" t="s">
        <v>485</v>
      </c>
      <c r="I60" s="13" t="n">
        <v>86</v>
      </c>
      <c r="J60" s="5" t="s">
        <v>486</v>
      </c>
      <c r="K60" s="5" t="s">
        <v>1062</v>
      </c>
      <c r="L60" s="5" t="s">
        <v>320</v>
      </c>
    </row>
    <row r="61" customFormat="false" ht="15" hidden="false" customHeight="false" outlineLevel="0" collapsed="false">
      <c r="A61" s="5" t="s">
        <v>1063</v>
      </c>
      <c r="B61" s="5" t="s">
        <v>984</v>
      </c>
      <c r="C61" s="10" t="n">
        <v>46224</v>
      </c>
      <c r="D61" s="5" t="s">
        <v>827</v>
      </c>
      <c r="E61" s="5" t="s">
        <v>315</v>
      </c>
      <c r="F61" s="5" t="s">
        <v>111</v>
      </c>
      <c r="G61" s="5" t="s">
        <v>464</v>
      </c>
      <c r="H61" s="5" t="s">
        <v>465</v>
      </c>
      <c r="I61" s="13" t="n">
        <v>378</v>
      </c>
      <c r="J61" s="5" t="s">
        <v>466</v>
      </c>
      <c r="K61" s="5" t="s">
        <v>1064</v>
      </c>
      <c r="L61" s="5" t="s">
        <v>317</v>
      </c>
    </row>
    <row r="62" customFormat="false" ht="15" hidden="false" customHeight="false" outlineLevel="0" collapsed="false">
      <c r="A62" s="5" t="s">
        <v>325</v>
      </c>
      <c r="B62" s="5" t="s">
        <v>984</v>
      </c>
      <c r="C62" s="10" t="n">
        <v>46225</v>
      </c>
      <c r="D62" s="5" t="s">
        <v>827</v>
      </c>
      <c r="E62" s="5" t="s">
        <v>324</v>
      </c>
      <c r="F62" s="5" t="s">
        <v>38</v>
      </c>
      <c r="G62" s="5" t="s">
        <v>474</v>
      </c>
      <c r="H62" s="5" t="s">
        <v>475</v>
      </c>
      <c r="I62" s="13" t="n">
        <v>295</v>
      </c>
      <c r="J62" s="5" t="s">
        <v>466</v>
      </c>
      <c r="K62" s="5" t="s">
        <v>1065</v>
      </c>
      <c r="L62" s="5" t="s">
        <v>326</v>
      </c>
    </row>
    <row r="63" customFormat="false" ht="15" hidden="false" customHeight="false" outlineLevel="0" collapsed="false">
      <c r="A63" s="5" t="s">
        <v>325</v>
      </c>
      <c r="B63" s="5" t="s">
        <v>984</v>
      </c>
      <c r="C63" s="10" t="n">
        <v>46225</v>
      </c>
      <c r="D63" s="5" t="s">
        <v>827</v>
      </c>
      <c r="E63" s="5" t="s">
        <v>324</v>
      </c>
      <c r="F63" s="5" t="s">
        <v>38</v>
      </c>
      <c r="G63" s="5" t="s">
        <v>492</v>
      </c>
      <c r="H63" s="5" t="s">
        <v>493</v>
      </c>
      <c r="I63" s="13" t="n">
        <v>186</v>
      </c>
      <c r="J63" s="5" t="s">
        <v>486</v>
      </c>
      <c r="K63" s="5" t="s">
        <v>1066</v>
      </c>
      <c r="L63" s="5" t="s">
        <v>326</v>
      </c>
    </row>
    <row r="64" customFormat="false" ht="15" hidden="false" customHeight="false" outlineLevel="0" collapsed="false">
      <c r="A64" s="5" t="s">
        <v>328</v>
      </c>
      <c r="B64" s="5" t="s">
        <v>984</v>
      </c>
      <c r="C64" s="10" t="n">
        <v>46229</v>
      </c>
      <c r="D64" s="5" t="s">
        <v>827</v>
      </c>
      <c r="E64" s="5" t="s">
        <v>327</v>
      </c>
      <c r="F64" s="5" t="s">
        <v>126</v>
      </c>
      <c r="G64" s="5" t="s">
        <v>474</v>
      </c>
      <c r="H64" s="5" t="s">
        <v>475</v>
      </c>
      <c r="I64" s="13" t="n">
        <v>19</v>
      </c>
      <c r="J64" s="5" t="s">
        <v>466</v>
      </c>
      <c r="K64" s="5" t="s">
        <v>1067</v>
      </c>
      <c r="L64" s="5" t="s">
        <v>329</v>
      </c>
    </row>
    <row r="65" customFormat="false" ht="15" hidden="false" customHeight="false" outlineLevel="0" collapsed="false">
      <c r="A65" s="5" t="s">
        <v>328</v>
      </c>
      <c r="B65" s="5" t="s">
        <v>984</v>
      </c>
      <c r="C65" s="10" t="n">
        <v>46229</v>
      </c>
      <c r="D65" s="5" t="s">
        <v>827</v>
      </c>
      <c r="E65" s="5" t="s">
        <v>327</v>
      </c>
      <c r="F65" s="5" t="s">
        <v>126</v>
      </c>
      <c r="G65" s="5" t="s">
        <v>464</v>
      </c>
      <c r="H65" s="5" t="s">
        <v>465</v>
      </c>
      <c r="I65" s="13" t="n">
        <v>27</v>
      </c>
      <c r="J65" s="5" t="s">
        <v>466</v>
      </c>
      <c r="K65" s="5" t="s">
        <v>1068</v>
      </c>
      <c r="L65" s="5" t="s">
        <v>329</v>
      </c>
    </row>
    <row r="66" customFormat="false" ht="15" hidden="false" customHeight="false" outlineLevel="0" collapsed="false">
      <c r="A66" s="5" t="s">
        <v>1069</v>
      </c>
      <c r="B66" s="5" t="s">
        <v>984</v>
      </c>
      <c r="C66" s="10" t="n">
        <v>46229</v>
      </c>
      <c r="D66" s="5" t="s">
        <v>827</v>
      </c>
      <c r="E66" s="5" t="s">
        <v>330</v>
      </c>
      <c r="F66" s="5" t="s">
        <v>83</v>
      </c>
      <c r="G66" s="5" t="s">
        <v>484</v>
      </c>
      <c r="H66" s="5" t="s">
        <v>485</v>
      </c>
      <c r="I66" s="13" t="n">
        <v>54</v>
      </c>
      <c r="J66" s="5" t="s">
        <v>486</v>
      </c>
      <c r="K66" s="5" t="s">
        <v>1070</v>
      </c>
      <c r="L66" s="5" t="s">
        <v>332</v>
      </c>
    </row>
    <row r="67" customFormat="false" ht="15" hidden="false" customHeight="false" outlineLevel="0" collapsed="false">
      <c r="A67" s="5" t="s">
        <v>1071</v>
      </c>
      <c r="B67" s="5" t="s">
        <v>984</v>
      </c>
      <c r="C67" s="10" t="n">
        <v>46236</v>
      </c>
      <c r="D67" s="5" t="s">
        <v>827</v>
      </c>
      <c r="E67" s="5" t="s">
        <v>333</v>
      </c>
      <c r="F67" s="5" t="s">
        <v>104</v>
      </c>
      <c r="G67" s="5" t="s">
        <v>464</v>
      </c>
      <c r="H67" s="5" t="s">
        <v>465</v>
      </c>
      <c r="I67" s="13" t="n">
        <v>239</v>
      </c>
      <c r="J67" s="5" t="s">
        <v>466</v>
      </c>
      <c r="K67" s="5" t="s">
        <v>1072</v>
      </c>
      <c r="L67" s="5" t="s">
        <v>335</v>
      </c>
    </row>
    <row r="68" customFormat="false" ht="15" hidden="false" customHeight="false" outlineLevel="0" collapsed="false">
      <c r="A68" s="5" t="s">
        <v>337</v>
      </c>
      <c r="B68" s="5" t="s">
        <v>984</v>
      </c>
      <c r="C68" s="10" t="n">
        <v>46236</v>
      </c>
      <c r="D68" s="5" t="s">
        <v>827</v>
      </c>
      <c r="E68" s="5" t="s">
        <v>336</v>
      </c>
      <c r="F68" s="5" t="s">
        <v>126</v>
      </c>
      <c r="G68" s="5" t="s">
        <v>464</v>
      </c>
      <c r="H68" s="5" t="s">
        <v>465</v>
      </c>
      <c r="I68" s="13" t="n">
        <v>29</v>
      </c>
      <c r="J68" s="5" t="s">
        <v>466</v>
      </c>
      <c r="K68" s="5" t="s">
        <v>1073</v>
      </c>
      <c r="L68" s="5" t="s">
        <v>338</v>
      </c>
    </row>
    <row r="69" customFormat="false" ht="15" hidden="false" customHeight="false" outlineLevel="0" collapsed="false">
      <c r="A69" s="5" t="s">
        <v>340</v>
      </c>
      <c r="B69" s="5" t="s">
        <v>984</v>
      </c>
      <c r="C69" s="10" t="n">
        <v>46236</v>
      </c>
      <c r="D69" s="5" t="s">
        <v>827</v>
      </c>
      <c r="E69" s="5" t="s">
        <v>339</v>
      </c>
      <c r="F69" s="5" t="s">
        <v>126</v>
      </c>
      <c r="G69" s="5" t="s">
        <v>492</v>
      </c>
      <c r="H69" s="5" t="s">
        <v>493</v>
      </c>
      <c r="I69" s="13" t="n">
        <v>14</v>
      </c>
      <c r="J69" s="5" t="s">
        <v>486</v>
      </c>
      <c r="K69" s="5" t="s">
        <v>1074</v>
      </c>
      <c r="L69" s="5" t="s">
        <v>341</v>
      </c>
    </row>
    <row r="70" customFormat="false" ht="15" hidden="false" customHeight="false" outlineLevel="0" collapsed="false">
      <c r="A70" s="5" t="s">
        <v>340</v>
      </c>
      <c r="B70" s="5" t="s">
        <v>984</v>
      </c>
      <c r="C70" s="10" t="n">
        <v>46236</v>
      </c>
      <c r="D70" s="5" t="s">
        <v>827</v>
      </c>
      <c r="E70" s="5" t="s">
        <v>339</v>
      </c>
      <c r="F70" s="5" t="s">
        <v>126</v>
      </c>
      <c r="G70" s="5" t="s">
        <v>464</v>
      </c>
      <c r="H70" s="5" t="s">
        <v>465</v>
      </c>
      <c r="I70" s="13" t="n">
        <v>27</v>
      </c>
      <c r="J70" s="5" t="s">
        <v>466</v>
      </c>
      <c r="K70" s="5" t="s">
        <v>1068</v>
      </c>
      <c r="L70" s="5" t="s">
        <v>341</v>
      </c>
    </row>
    <row r="71" customFormat="false" ht="15" hidden="false" customHeight="false" outlineLevel="0" collapsed="false">
      <c r="A71" s="5" t="s">
        <v>343</v>
      </c>
      <c r="B71" s="5" t="s">
        <v>984</v>
      </c>
      <c r="C71" s="10" t="n">
        <v>46240</v>
      </c>
      <c r="D71" s="5" t="s">
        <v>827</v>
      </c>
      <c r="E71" s="5" t="s">
        <v>342</v>
      </c>
      <c r="F71" s="5" t="s">
        <v>47</v>
      </c>
      <c r="G71" s="5" t="s">
        <v>480</v>
      </c>
      <c r="H71" s="5" t="s">
        <v>481</v>
      </c>
      <c r="I71" s="13" t="n">
        <v>234</v>
      </c>
      <c r="J71" s="5" t="s">
        <v>466</v>
      </c>
      <c r="K71" s="5" t="s">
        <v>1075</v>
      </c>
      <c r="L71" s="5" t="s">
        <v>344</v>
      </c>
    </row>
    <row r="72" customFormat="false" ht="15" hidden="false" customHeight="false" outlineLevel="0" collapsed="false">
      <c r="A72" s="5" t="s">
        <v>343</v>
      </c>
      <c r="B72" s="5" t="s">
        <v>984</v>
      </c>
      <c r="C72" s="10" t="n">
        <v>46240</v>
      </c>
      <c r="D72" s="5" t="s">
        <v>827</v>
      </c>
      <c r="E72" s="5" t="s">
        <v>342</v>
      </c>
      <c r="F72" s="5" t="s">
        <v>47</v>
      </c>
      <c r="G72" s="5" t="s">
        <v>498</v>
      </c>
      <c r="H72" s="5" t="s">
        <v>499</v>
      </c>
      <c r="I72" s="13" t="n">
        <v>22</v>
      </c>
      <c r="J72" s="5" t="s">
        <v>500</v>
      </c>
      <c r="K72" s="5" t="s">
        <v>1076</v>
      </c>
      <c r="L72" s="5" t="s">
        <v>344</v>
      </c>
    </row>
    <row r="73" customFormat="false" ht="15" hidden="false" customHeight="false" outlineLevel="0" collapsed="false">
      <c r="A73" s="5" t="s">
        <v>347</v>
      </c>
      <c r="B73" s="5" t="s">
        <v>984</v>
      </c>
      <c r="C73" s="10" t="n">
        <v>46243</v>
      </c>
      <c r="D73" s="5" t="s">
        <v>827</v>
      </c>
      <c r="E73" s="5" t="s">
        <v>345</v>
      </c>
      <c r="F73" s="5" t="s">
        <v>126</v>
      </c>
      <c r="G73" s="5" t="s">
        <v>480</v>
      </c>
      <c r="H73" s="5" t="s">
        <v>481</v>
      </c>
      <c r="I73" s="13" t="n">
        <v>12</v>
      </c>
      <c r="J73" s="5" t="s">
        <v>466</v>
      </c>
      <c r="K73" s="5" t="s">
        <v>1077</v>
      </c>
      <c r="L73" s="5" t="s">
        <v>348</v>
      </c>
    </row>
    <row r="74" customFormat="false" ht="15" hidden="false" customHeight="false" outlineLevel="0" collapsed="false">
      <c r="A74" s="5" t="s">
        <v>347</v>
      </c>
      <c r="B74" s="5" t="s">
        <v>984</v>
      </c>
      <c r="C74" s="10" t="n">
        <v>46243</v>
      </c>
      <c r="D74" s="5" t="s">
        <v>827</v>
      </c>
      <c r="E74" s="5" t="s">
        <v>345</v>
      </c>
      <c r="F74" s="5" t="s">
        <v>126</v>
      </c>
      <c r="G74" s="5" t="s">
        <v>474</v>
      </c>
      <c r="H74" s="5" t="s">
        <v>475</v>
      </c>
      <c r="I74" s="13" t="n">
        <v>8</v>
      </c>
      <c r="J74" s="5" t="s">
        <v>466</v>
      </c>
      <c r="K74" s="5" t="s">
        <v>1078</v>
      </c>
      <c r="L74" s="5" t="s">
        <v>348</v>
      </c>
    </row>
    <row r="75" customFormat="false" ht="15" hidden="false" customHeight="false" outlineLevel="0" collapsed="false">
      <c r="A75" s="5" t="s">
        <v>353</v>
      </c>
      <c r="B75" s="5" t="s">
        <v>984</v>
      </c>
      <c r="C75" s="10" t="n">
        <v>46243</v>
      </c>
      <c r="D75" s="5" t="s">
        <v>827</v>
      </c>
      <c r="E75" s="5" t="s">
        <v>352</v>
      </c>
      <c r="F75" s="5" t="s">
        <v>76</v>
      </c>
      <c r="G75" s="5" t="s">
        <v>480</v>
      </c>
      <c r="H75" s="5" t="s">
        <v>481</v>
      </c>
      <c r="I75" s="13" t="n">
        <v>199</v>
      </c>
      <c r="J75" s="5" t="s">
        <v>466</v>
      </c>
      <c r="K75" s="5" t="s">
        <v>1079</v>
      </c>
      <c r="L75" s="5" t="s">
        <v>354</v>
      </c>
    </row>
    <row r="76" customFormat="false" ht="15" hidden="false" customHeight="false" outlineLevel="0" collapsed="false">
      <c r="A76" s="5" t="s">
        <v>353</v>
      </c>
      <c r="B76" s="5" t="s">
        <v>984</v>
      </c>
      <c r="C76" s="10" t="n">
        <v>46243</v>
      </c>
      <c r="D76" s="5" t="s">
        <v>827</v>
      </c>
      <c r="E76" s="5" t="s">
        <v>352</v>
      </c>
      <c r="F76" s="5" t="s">
        <v>76</v>
      </c>
      <c r="G76" s="5" t="s">
        <v>474</v>
      </c>
      <c r="H76" s="5" t="s">
        <v>475</v>
      </c>
      <c r="I76" s="13" t="n">
        <v>184</v>
      </c>
      <c r="J76" s="5" t="s">
        <v>466</v>
      </c>
      <c r="K76" s="5" t="s">
        <v>1080</v>
      </c>
      <c r="L76" s="5" t="s">
        <v>354</v>
      </c>
    </row>
    <row r="77" customFormat="false" ht="15" hidden="false" customHeight="false" outlineLevel="0" collapsed="false">
      <c r="A77" s="5" t="s">
        <v>353</v>
      </c>
      <c r="B77" s="5" t="s">
        <v>984</v>
      </c>
      <c r="C77" s="10" t="n">
        <v>46243</v>
      </c>
      <c r="D77" s="5" t="s">
        <v>827</v>
      </c>
      <c r="E77" s="5" t="s">
        <v>352</v>
      </c>
      <c r="F77" s="5" t="s">
        <v>76</v>
      </c>
      <c r="G77" s="5" t="s">
        <v>492</v>
      </c>
      <c r="H77" s="5" t="s">
        <v>493</v>
      </c>
      <c r="I77" s="13" t="n">
        <v>241</v>
      </c>
      <c r="J77" s="5" t="s">
        <v>486</v>
      </c>
      <c r="K77" s="5" t="s">
        <v>1081</v>
      </c>
      <c r="L77" s="5" t="s">
        <v>354</v>
      </c>
    </row>
    <row r="78" customFormat="false" ht="15" hidden="false" customHeight="false" outlineLevel="0" collapsed="false">
      <c r="A78" s="5" t="s">
        <v>1082</v>
      </c>
      <c r="B78" s="5" t="s">
        <v>984</v>
      </c>
      <c r="C78" s="10" t="n">
        <v>46246</v>
      </c>
      <c r="D78" s="5" t="s">
        <v>827</v>
      </c>
      <c r="E78" s="5" t="s">
        <v>349</v>
      </c>
      <c r="F78" s="5" t="s">
        <v>55</v>
      </c>
      <c r="G78" s="5" t="s">
        <v>490</v>
      </c>
      <c r="H78" s="5" t="s">
        <v>491</v>
      </c>
      <c r="I78" s="13" t="n">
        <v>181</v>
      </c>
      <c r="J78" s="5" t="s">
        <v>466</v>
      </c>
      <c r="K78" s="5" t="s">
        <v>1083</v>
      </c>
      <c r="L78" s="5" t="s">
        <v>351</v>
      </c>
    </row>
    <row r="79" customFormat="false" ht="15" hidden="false" customHeight="false" outlineLevel="0" collapsed="false">
      <c r="A79" s="5" t="s">
        <v>1082</v>
      </c>
      <c r="B79" s="5" t="s">
        <v>984</v>
      </c>
      <c r="C79" s="10" t="n">
        <v>46246</v>
      </c>
      <c r="D79" s="5" t="s">
        <v>827</v>
      </c>
      <c r="E79" s="5" t="s">
        <v>349</v>
      </c>
      <c r="F79" s="5" t="s">
        <v>55</v>
      </c>
      <c r="G79" s="5" t="s">
        <v>501</v>
      </c>
      <c r="H79" s="5" t="s">
        <v>502</v>
      </c>
      <c r="I79" s="13" t="n">
        <v>87</v>
      </c>
      <c r="J79" s="5" t="s">
        <v>466</v>
      </c>
      <c r="K79" s="5" t="s">
        <v>1084</v>
      </c>
      <c r="L79" s="5" t="s">
        <v>351</v>
      </c>
    </row>
    <row r="80" customFormat="false" ht="15" hidden="false" customHeight="false" outlineLevel="0" collapsed="false">
      <c r="A80" s="5" t="s">
        <v>1085</v>
      </c>
      <c r="B80" s="5" t="s">
        <v>984</v>
      </c>
      <c r="C80" s="10" t="n">
        <v>46246</v>
      </c>
      <c r="D80" s="5" t="s">
        <v>827</v>
      </c>
      <c r="E80" s="5" t="s">
        <v>355</v>
      </c>
      <c r="F80" s="5" t="s">
        <v>118</v>
      </c>
      <c r="G80" s="5" t="s">
        <v>474</v>
      </c>
      <c r="H80" s="5" t="s">
        <v>475</v>
      </c>
      <c r="I80" s="13" t="n">
        <v>182</v>
      </c>
      <c r="J80" s="5" t="s">
        <v>466</v>
      </c>
      <c r="K80" s="5" t="s">
        <v>1086</v>
      </c>
      <c r="L80" s="5" t="s">
        <v>357</v>
      </c>
    </row>
    <row r="81" customFormat="false" ht="15" hidden="false" customHeight="false" outlineLevel="0" collapsed="false">
      <c r="A81" s="5" t="s">
        <v>1085</v>
      </c>
      <c r="B81" s="5" t="s">
        <v>984</v>
      </c>
      <c r="C81" s="10" t="n">
        <v>46246</v>
      </c>
      <c r="D81" s="5" t="s">
        <v>827</v>
      </c>
      <c r="E81" s="5" t="s">
        <v>355</v>
      </c>
      <c r="F81" s="5" t="s">
        <v>118</v>
      </c>
      <c r="G81" s="5" t="s">
        <v>464</v>
      </c>
      <c r="H81" s="5" t="s">
        <v>465</v>
      </c>
      <c r="I81" s="13" t="n">
        <v>200</v>
      </c>
      <c r="J81" s="5" t="s">
        <v>466</v>
      </c>
      <c r="K81" s="5" t="s">
        <v>1087</v>
      </c>
      <c r="L81" s="5" t="s">
        <v>357</v>
      </c>
    </row>
    <row r="82" customFormat="false" ht="15" hidden="false" customHeight="false" outlineLevel="0" collapsed="false">
      <c r="A82" s="5" t="s">
        <v>362</v>
      </c>
      <c r="B82" s="5" t="s">
        <v>984</v>
      </c>
      <c r="C82" s="10" t="n">
        <v>46246</v>
      </c>
      <c r="D82" s="5" t="s">
        <v>827</v>
      </c>
      <c r="E82" s="5" t="s">
        <v>361</v>
      </c>
      <c r="F82" s="5" t="s">
        <v>126</v>
      </c>
      <c r="G82" s="5" t="s">
        <v>474</v>
      </c>
      <c r="H82" s="5" t="s">
        <v>475</v>
      </c>
      <c r="I82" s="13" t="n">
        <v>11</v>
      </c>
      <c r="J82" s="5" t="s">
        <v>466</v>
      </c>
      <c r="K82" s="5" t="s">
        <v>1088</v>
      </c>
      <c r="L82" s="5" t="s">
        <v>363</v>
      </c>
    </row>
    <row r="83" customFormat="false" ht="15" hidden="false" customHeight="false" outlineLevel="0" collapsed="false">
      <c r="A83" s="5" t="s">
        <v>362</v>
      </c>
      <c r="B83" s="5" t="s">
        <v>984</v>
      </c>
      <c r="C83" s="10" t="n">
        <v>46246</v>
      </c>
      <c r="D83" s="5" t="s">
        <v>827</v>
      </c>
      <c r="E83" s="5" t="s">
        <v>361</v>
      </c>
      <c r="F83" s="5" t="s">
        <v>126</v>
      </c>
      <c r="G83" s="5" t="s">
        <v>464</v>
      </c>
      <c r="H83" s="5" t="s">
        <v>465</v>
      </c>
      <c r="I83" s="13" t="n">
        <v>20</v>
      </c>
      <c r="J83" s="5" t="s">
        <v>466</v>
      </c>
      <c r="K83" s="5" t="s">
        <v>1089</v>
      </c>
      <c r="L83" s="5" t="s">
        <v>363</v>
      </c>
    </row>
    <row r="84" customFormat="false" ht="15" hidden="false" customHeight="false" outlineLevel="0" collapsed="false">
      <c r="A84" s="5" t="s">
        <v>365</v>
      </c>
      <c r="B84" s="5" t="s">
        <v>984</v>
      </c>
      <c r="C84" s="10" t="n">
        <v>46247</v>
      </c>
      <c r="D84" s="5" t="s">
        <v>827</v>
      </c>
      <c r="E84" s="5" t="s">
        <v>364</v>
      </c>
      <c r="F84" s="5" t="s">
        <v>126</v>
      </c>
      <c r="G84" s="5" t="s">
        <v>464</v>
      </c>
      <c r="H84" s="5" t="s">
        <v>465</v>
      </c>
      <c r="I84" s="13" t="n">
        <v>5</v>
      </c>
      <c r="J84" s="5" t="s">
        <v>466</v>
      </c>
      <c r="K84" s="5" t="s">
        <v>1090</v>
      </c>
      <c r="L84" s="5" t="s">
        <v>366</v>
      </c>
    </row>
    <row r="85" customFormat="false" ht="15" hidden="false" customHeight="false" outlineLevel="0" collapsed="false">
      <c r="A85" s="5" t="s">
        <v>365</v>
      </c>
      <c r="B85" s="5" t="s">
        <v>984</v>
      </c>
      <c r="C85" s="10" t="n">
        <v>46247</v>
      </c>
      <c r="D85" s="5" t="s">
        <v>827</v>
      </c>
      <c r="E85" s="5" t="s">
        <v>364</v>
      </c>
      <c r="F85" s="5" t="s">
        <v>126</v>
      </c>
      <c r="G85" s="5" t="s">
        <v>474</v>
      </c>
      <c r="H85" s="5" t="s">
        <v>475</v>
      </c>
      <c r="I85" s="13" t="n">
        <v>10</v>
      </c>
      <c r="J85" s="5" t="s">
        <v>466</v>
      </c>
      <c r="K85" s="5" t="s">
        <v>1091</v>
      </c>
      <c r="L85" s="5" t="s">
        <v>366</v>
      </c>
    </row>
    <row r="86" customFormat="false" ht="15" hidden="false" customHeight="false" outlineLevel="0" collapsed="false">
      <c r="A86" s="5" t="s">
        <v>1092</v>
      </c>
      <c r="B86" s="5" t="s">
        <v>984</v>
      </c>
      <c r="C86" s="10" t="n">
        <v>46251</v>
      </c>
      <c r="D86" s="5" t="s">
        <v>827</v>
      </c>
      <c r="E86" s="5" t="s">
        <v>367</v>
      </c>
      <c r="F86" s="5" t="s">
        <v>69</v>
      </c>
      <c r="G86" s="5" t="s">
        <v>480</v>
      </c>
      <c r="H86" s="5" t="s">
        <v>481</v>
      </c>
      <c r="I86" s="13" t="n">
        <v>170</v>
      </c>
      <c r="J86" s="5" t="s">
        <v>466</v>
      </c>
      <c r="K86" s="5" t="s">
        <v>1093</v>
      </c>
      <c r="L86" s="5" t="s">
        <v>369</v>
      </c>
    </row>
    <row r="87" customFormat="false" ht="15" hidden="false" customHeight="false" outlineLevel="0" collapsed="false">
      <c r="A87" s="5" t="s">
        <v>1094</v>
      </c>
      <c r="B87" s="5" t="s">
        <v>984</v>
      </c>
      <c r="C87" s="10" t="n">
        <v>46254</v>
      </c>
      <c r="D87" s="5" t="s">
        <v>827</v>
      </c>
      <c r="E87" s="5" t="s">
        <v>370</v>
      </c>
      <c r="F87" s="5" t="s">
        <v>111</v>
      </c>
      <c r="G87" s="5" t="s">
        <v>492</v>
      </c>
      <c r="H87" s="5" t="s">
        <v>493</v>
      </c>
      <c r="I87" s="13" t="n">
        <v>209</v>
      </c>
      <c r="J87" s="5" t="s">
        <v>486</v>
      </c>
      <c r="K87" s="5" t="s">
        <v>1095</v>
      </c>
      <c r="L87" s="5" t="s">
        <v>372</v>
      </c>
    </row>
    <row r="88" customFormat="false" ht="15" hidden="false" customHeight="false" outlineLevel="0" collapsed="false">
      <c r="A88" s="5" t="s">
        <v>1096</v>
      </c>
      <c r="B88" s="5" t="s">
        <v>984</v>
      </c>
      <c r="C88" s="10" t="n">
        <v>46254</v>
      </c>
      <c r="D88" s="5" t="s">
        <v>827</v>
      </c>
      <c r="E88" s="5" t="s">
        <v>376</v>
      </c>
      <c r="F88" s="5" t="s">
        <v>126</v>
      </c>
      <c r="G88" s="5" t="s">
        <v>464</v>
      </c>
      <c r="H88" s="5" t="s">
        <v>465</v>
      </c>
      <c r="I88" s="13" t="n">
        <v>17</v>
      </c>
      <c r="J88" s="5" t="s">
        <v>466</v>
      </c>
      <c r="K88" s="5" t="s">
        <v>1097</v>
      </c>
      <c r="L88" s="5" t="s">
        <v>378</v>
      </c>
    </row>
    <row r="89" customFormat="false" ht="15" hidden="false" customHeight="false" outlineLevel="0" collapsed="false">
      <c r="A89" s="5" t="s">
        <v>1098</v>
      </c>
      <c r="B89" s="5" t="s">
        <v>984</v>
      </c>
      <c r="C89" s="10" t="n">
        <v>46257</v>
      </c>
      <c r="D89" s="5" t="s">
        <v>827</v>
      </c>
      <c r="E89" s="5" t="s">
        <v>373</v>
      </c>
      <c r="F89" s="5" t="s">
        <v>97</v>
      </c>
      <c r="G89" s="5" t="s">
        <v>487</v>
      </c>
      <c r="H89" s="5" t="s">
        <v>488</v>
      </c>
      <c r="I89" s="13" t="n">
        <v>9</v>
      </c>
      <c r="J89" s="5" t="s">
        <v>489</v>
      </c>
      <c r="K89" s="5" t="s">
        <v>1099</v>
      </c>
      <c r="L89" s="5" t="s">
        <v>375</v>
      </c>
    </row>
    <row r="90" customFormat="false" ht="15" hidden="false" customHeight="false" outlineLevel="0" collapsed="false">
      <c r="A90" s="5" t="s">
        <v>1098</v>
      </c>
      <c r="B90" s="5" t="s">
        <v>984</v>
      </c>
      <c r="C90" s="10" t="n">
        <v>46257</v>
      </c>
      <c r="D90" s="5" t="s">
        <v>827</v>
      </c>
      <c r="E90" s="5" t="s">
        <v>373</v>
      </c>
      <c r="F90" s="5" t="s">
        <v>97</v>
      </c>
      <c r="G90" s="5" t="s">
        <v>498</v>
      </c>
      <c r="H90" s="5" t="s">
        <v>499</v>
      </c>
      <c r="I90" s="13" t="n">
        <v>23</v>
      </c>
      <c r="J90" s="5" t="s">
        <v>500</v>
      </c>
      <c r="K90" s="5" t="s">
        <v>1100</v>
      </c>
      <c r="L90" s="5" t="s">
        <v>375</v>
      </c>
    </row>
    <row r="91" customFormat="false" ht="15" hidden="false" customHeight="false" outlineLevel="0" collapsed="false">
      <c r="A91" s="5" t="s">
        <v>380</v>
      </c>
      <c r="B91" s="5" t="s">
        <v>984</v>
      </c>
      <c r="C91" s="10" t="n">
        <v>46257</v>
      </c>
      <c r="D91" s="5" t="s">
        <v>827</v>
      </c>
      <c r="E91" s="5" t="s">
        <v>379</v>
      </c>
      <c r="F91" s="5" t="s">
        <v>104</v>
      </c>
      <c r="G91" s="5" t="s">
        <v>480</v>
      </c>
      <c r="H91" s="5" t="s">
        <v>481</v>
      </c>
      <c r="I91" s="13" t="n">
        <v>242</v>
      </c>
      <c r="J91" s="5" t="s">
        <v>466</v>
      </c>
      <c r="K91" s="5" t="s">
        <v>1101</v>
      </c>
      <c r="L91" s="5" t="s">
        <v>381</v>
      </c>
    </row>
    <row r="92" customFormat="false" ht="15" hidden="false" customHeight="false" outlineLevel="0" collapsed="false">
      <c r="A92" s="5" t="s">
        <v>380</v>
      </c>
      <c r="B92" s="5" t="s">
        <v>984</v>
      </c>
      <c r="C92" s="10" t="n">
        <v>46257</v>
      </c>
      <c r="D92" s="5" t="s">
        <v>827</v>
      </c>
      <c r="E92" s="5" t="s">
        <v>379</v>
      </c>
      <c r="F92" s="5" t="s">
        <v>104</v>
      </c>
      <c r="G92" s="5" t="s">
        <v>474</v>
      </c>
      <c r="H92" s="5" t="s">
        <v>475</v>
      </c>
      <c r="I92" s="13" t="n">
        <v>158</v>
      </c>
      <c r="J92" s="5" t="s">
        <v>466</v>
      </c>
      <c r="K92" s="5" t="s">
        <v>1102</v>
      </c>
      <c r="L92" s="5" t="s">
        <v>381</v>
      </c>
    </row>
    <row r="93" customFormat="false" ht="15" hidden="false" customHeight="false" outlineLevel="0" collapsed="false">
      <c r="A93" s="5" t="s">
        <v>383</v>
      </c>
      <c r="B93" s="5" t="s">
        <v>984</v>
      </c>
      <c r="C93" s="10" t="n">
        <v>46258</v>
      </c>
      <c r="D93" s="5" t="s">
        <v>827</v>
      </c>
      <c r="E93" s="5" t="s">
        <v>382</v>
      </c>
      <c r="F93" s="5" t="s">
        <v>126</v>
      </c>
      <c r="G93" s="5" t="s">
        <v>480</v>
      </c>
      <c r="H93" s="5" t="s">
        <v>481</v>
      </c>
      <c r="I93" s="13" t="n">
        <v>9</v>
      </c>
      <c r="J93" s="5" t="s">
        <v>466</v>
      </c>
      <c r="K93" s="5" t="s">
        <v>1103</v>
      </c>
      <c r="L93" s="5" t="s">
        <v>384</v>
      </c>
    </row>
    <row r="94" customFormat="false" ht="15" hidden="false" customHeight="false" outlineLevel="0" collapsed="false">
      <c r="A94" s="5" t="s">
        <v>1104</v>
      </c>
      <c r="B94" s="5" t="s">
        <v>984</v>
      </c>
      <c r="C94" s="10" t="n">
        <v>46260</v>
      </c>
      <c r="D94" s="5" t="s">
        <v>827</v>
      </c>
      <c r="E94" s="5" t="s">
        <v>385</v>
      </c>
      <c r="F94" s="5" t="s">
        <v>38</v>
      </c>
      <c r="G94" s="5" t="s">
        <v>498</v>
      </c>
      <c r="H94" s="5" t="s">
        <v>499</v>
      </c>
      <c r="I94" s="13" t="n">
        <v>20</v>
      </c>
      <c r="J94" s="5" t="s">
        <v>500</v>
      </c>
      <c r="K94" s="5" t="s">
        <v>1105</v>
      </c>
      <c r="L94" s="5" t="s">
        <v>387</v>
      </c>
    </row>
    <row r="95" customFormat="false" ht="15" hidden="false" customHeight="false" outlineLevel="0" collapsed="false">
      <c r="A95" s="5" t="s">
        <v>1106</v>
      </c>
      <c r="B95" s="5" t="s">
        <v>984</v>
      </c>
      <c r="C95" s="10" t="n">
        <v>46264</v>
      </c>
      <c r="D95" s="5" t="s">
        <v>827</v>
      </c>
      <c r="E95" s="5" t="s">
        <v>388</v>
      </c>
      <c r="F95" s="5" t="s">
        <v>90</v>
      </c>
      <c r="G95" s="5" t="s">
        <v>474</v>
      </c>
      <c r="H95" s="5" t="s">
        <v>475</v>
      </c>
      <c r="I95" s="13" t="n">
        <v>288</v>
      </c>
      <c r="J95" s="5" t="s">
        <v>466</v>
      </c>
      <c r="K95" s="5" t="s">
        <v>1107</v>
      </c>
      <c r="L95" s="5" t="s">
        <v>390</v>
      </c>
    </row>
    <row r="96" customFormat="false" ht="15" hidden="false" customHeight="false" outlineLevel="0" collapsed="false">
      <c r="A96" s="5" t="s">
        <v>1108</v>
      </c>
      <c r="B96" s="5" t="s">
        <v>984</v>
      </c>
      <c r="C96" s="10" t="n">
        <v>46265</v>
      </c>
      <c r="D96" s="5" t="s">
        <v>827</v>
      </c>
      <c r="E96" s="5" t="s">
        <v>391</v>
      </c>
      <c r="F96" s="5" t="s">
        <v>62</v>
      </c>
      <c r="G96" s="5" t="s">
        <v>480</v>
      </c>
      <c r="H96" s="5" t="s">
        <v>481</v>
      </c>
      <c r="I96" s="13" t="n">
        <v>228</v>
      </c>
      <c r="J96" s="5" t="s">
        <v>466</v>
      </c>
      <c r="K96" s="5" t="s">
        <v>1109</v>
      </c>
      <c r="L96" s="5" t="s">
        <v>393</v>
      </c>
    </row>
    <row r="97" customFormat="false" ht="15" hidden="false" customHeight="false" outlineLevel="0" collapsed="false">
      <c r="A97" s="5" t="s">
        <v>1110</v>
      </c>
      <c r="B97" s="5" t="s">
        <v>984</v>
      </c>
      <c r="C97" s="10" t="n">
        <v>46266</v>
      </c>
      <c r="D97" s="5" t="s">
        <v>827</v>
      </c>
      <c r="E97" s="5" t="s">
        <v>397</v>
      </c>
      <c r="F97" s="5" t="s">
        <v>83</v>
      </c>
      <c r="G97" s="5" t="s">
        <v>480</v>
      </c>
      <c r="H97" s="5" t="s">
        <v>481</v>
      </c>
      <c r="I97" s="13" t="n">
        <v>308</v>
      </c>
      <c r="J97" s="5" t="s">
        <v>466</v>
      </c>
      <c r="K97" s="5" t="s">
        <v>1111</v>
      </c>
      <c r="L97" s="5" t="s">
        <v>399</v>
      </c>
    </row>
    <row r="98" customFormat="false" ht="15" hidden="false" customHeight="false" outlineLevel="0" collapsed="false">
      <c r="A98" s="5" t="s">
        <v>1110</v>
      </c>
      <c r="B98" s="5" t="s">
        <v>984</v>
      </c>
      <c r="C98" s="10" t="n">
        <v>46266</v>
      </c>
      <c r="D98" s="5" t="s">
        <v>827</v>
      </c>
      <c r="E98" s="5" t="s">
        <v>397</v>
      </c>
      <c r="F98" s="5" t="s">
        <v>83</v>
      </c>
      <c r="G98" s="5" t="s">
        <v>464</v>
      </c>
      <c r="H98" s="5" t="s">
        <v>465</v>
      </c>
      <c r="I98" s="13" t="n">
        <v>292</v>
      </c>
      <c r="J98" s="5" t="s">
        <v>466</v>
      </c>
      <c r="K98" s="5" t="s">
        <v>1112</v>
      </c>
      <c r="L98" s="5" t="s">
        <v>399</v>
      </c>
    </row>
    <row r="99" customFormat="false" ht="15" hidden="false" customHeight="false" outlineLevel="0" collapsed="false">
      <c r="A99" s="5" t="s">
        <v>1113</v>
      </c>
      <c r="B99" s="5" t="s">
        <v>984</v>
      </c>
      <c r="C99" s="10" t="n">
        <v>46267</v>
      </c>
      <c r="D99" s="5" t="s">
        <v>827</v>
      </c>
      <c r="E99" s="5" t="s">
        <v>394</v>
      </c>
      <c r="F99" s="5" t="s">
        <v>47</v>
      </c>
      <c r="G99" s="5" t="s">
        <v>474</v>
      </c>
      <c r="H99" s="5" t="s">
        <v>475</v>
      </c>
      <c r="I99" s="13" t="n">
        <v>181</v>
      </c>
      <c r="J99" s="5" t="s">
        <v>466</v>
      </c>
      <c r="K99" s="5" t="s">
        <v>1114</v>
      </c>
      <c r="L99" s="5" t="s">
        <v>396</v>
      </c>
    </row>
    <row r="100" customFormat="false" ht="15" hidden="false" customHeight="false" outlineLevel="0" collapsed="false">
      <c r="A100" s="5" t="s">
        <v>1113</v>
      </c>
      <c r="B100" s="5" t="s">
        <v>984</v>
      </c>
      <c r="C100" s="10" t="n">
        <v>46267</v>
      </c>
      <c r="D100" s="5" t="s">
        <v>827</v>
      </c>
      <c r="E100" s="5" t="s">
        <v>394</v>
      </c>
      <c r="F100" s="5" t="s">
        <v>47</v>
      </c>
      <c r="G100" s="5" t="s">
        <v>484</v>
      </c>
      <c r="H100" s="5" t="s">
        <v>485</v>
      </c>
      <c r="I100" s="13" t="n">
        <v>100</v>
      </c>
      <c r="J100" s="5" t="s">
        <v>486</v>
      </c>
      <c r="K100" s="5" t="s">
        <v>1115</v>
      </c>
      <c r="L100" s="5" t="s">
        <v>396</v>
      </c>
    </row>
    <row r="101" customFormat="false" ht="15" hidden="false" customHeight="false" outlineLevel="0" collapsed="false">
      <c r="A101" s="5" t="s">
        <v>405</v>
      </c>
      <c r="B101" s="5" t="s">
        <v>984</v>
      </c>
      <c r="C101" s="10" t="n">
        <v>46274</v>
      </c>
      <c r="D101" s="5" t="s">
        <v>827</v>
      </c>
      <c r="E101" s="5" t="s">
        <v>404</v>
      </c>
      <c r="F101" s="5" t="s">
        <v>126</v>
      </c>
      <c r="G101" s="5" t="s">
        <v>464</v>
      </c>
      <c r="H101" s="5" t="s">
        <v>465</v>
      </c>
      <c r="I101" s="13" t="n">
        <v>15</v>
      </c>
      <c r="J101" s="5" t="s">
        <v>466</v>
      </c>
      <c r="K101" s="5" t="s">
        <v>1116</v>
      </c>
      <c r="L101" s="5" t="s">
        <v>406</v>
      </c>
    </row>
    <row r="102" customFormat="false" ht="15" hidden="false" customHeight="false" outlineLevel="0" collapsed="false">
      <c r="A102" s="5" t="s">
        <v>408</v>
      </c>
      <c r="B102" s="5" t="s">
        <v>984</v>
      </c>
      <c r="C102" s="10" t="n">
        <v>46275</v>
      </c>
      <c r="D102" s="5" t="s">
        <v>827</v>
      </c>
      <c r="E102" s="5" t="s">
        <v>407</v>
      </c>
      <c r="F102" s="5" t="s">
        <v>126</v>
      </c>
      <c r="G102" s="5" t="s">
        <v>480</v>
      </c>
      <c r="H102" s="5" t="s">
        <v>481</v>
      </c>
      <c r="I102" s="13" t="n">
        <v>10</v>
      </c>
      <c r="J102" s="5" t="s">
        <v>466</v>
      </c>
      <c r="K102" s="5" t="s">
        <v>1117</v>
      </c>
      <c r="L102" s="5" t="s">
        <v>409</v>
      </c>
    </row>
    <row r="103" customFormat="false" ht="15" hidden="false" customHeight="false" outlineLevel="0" collapsed="false">
      <c r="A103" s="5" t="s">
        <v>1118</v>
      </c>
      <c r="B103" s="5" t="s">
        <v>984</v>
      </c>
      <c r="C103" s="10" t="n">
        <v>46280</v>
      </c>
      <c r="D103" s="5" t="s">
        <v>827</v>
      </c>
      <c r="E103" s="5" t="s">
        <v>410</v>
      </c>
      <c r="F103" s="5" t="s">
        <v>38</v>
      </c>
      <c r="G103" s="5" t="s">
        <v>501</v>
      </c>
      <c r="H103" s="5" t="s">
        <v>502</v>
      </c>
      <c r="I103" s="13" t="n">
        <v>58</v>
      </c>
      <c r="J103" s="5" t="s">
        <v>466</v>
      </c>
      <c r="K103" s="5" t="s">
        <v>1119</v>
      </c>
      <c r="L103" s="5" t="s">
        <v>412</v>
      </c>
    </row>
    <row r="104" customFormat="false" ht="15" hidden="false" customHeight="false" outlineLevel="0" collapsed="false">
      <c r="A104" s="5" t="s">
        <v>1118</v>
      </c>
      <c r="B104" s="5" t="s">
        <v>984</v>
      </c>
      <c r="C104" s="10" t="n">
        <v>46280</v>
      </c>
      <c r="D104" s="5" t="s">
        <v>827</v>
      </c>
      <c r="E104" s="5" t="s">
        <v>410</v>
      </c>
      <c r="F104" s="5" t="s">
        <v>38</v>
      </c>
      <c r="G104" s="5" t="s">
        <v>490</v>
      </c>
      <c r="H104" s="5" t="s">
        <v>491</v>
      </c>
      <c r="I104" s="13" t="n">
        <v>119</v>
      </c>
      <c r="J104" s="5" t="s">
        <v>466</v>
      </c>
      <c r="K104" s="5" t="s">
        <v>1120</v>
      </c>
      <c r="L104" s="5" t="s">
        <v>412</v>
      </c>
    </row>
    <row r="105" customFormat="false" ht="15" hidden="false" customHeight="false" outlineLevel="0" collapsed="false">
      <c r="A105" s="5" t="s">
        <v>1118</v>
      </c>
      <c r="B105" s="5" t="s">
        <v>984</v>
      </c>
      <c r="C105" s="10" t="n">
        <v>46280</v>
      </c>
      <c r="D105" s="5" t="s">
        <v>827</v>
      </c>
      <c r="E105" s="5" t="s">
        <v>410</v>
      </c>
      <c r="F105" s="5" t="s">
        <v>38</v>
      </c>
      <c r="G105" s="5" t="s">
        <v>484</v>
      </c>
      <c r="H105" s="5" t="s">
        <v>485</v>
      </c>
      <c r="I105" s="13" t="n">
        <v>80</v>
      </c>
      <c r="J105" s="5" t="s">
        <v>486</v>
      </c>
      <c r="K105" s="5" t="s">
        <v>1121</v>
      </c>
      <c r="L105" s="5" t="s">
        <v>412</v>
      </c>
    </row>
    <row r="106" customFormat="false" ht="15" hidden="false" customHeight="false" outlineLevel="0" collapsed="false">
      <c r="A106" s="5" t="s">
        <v>414</v>
      </c>
      <c r="B106" s="5" t="s">
        <v>984</v>
      </c>
      <c r="C106" s="10" t="n">
        <v>46280</v>
      </c>
      <c r="D106" s="5" t="s">
        <v>827</v>
      </c>
      <c r="E106" s="5" t="s">
        <v>413</v>
      </c>
      <c r="F106" s="5" t="s">
        <v>126</v>
      </c>
      <c r="G106" s="5" t="s">
        <v>480</v>
      </c>
      <c r="H106" s="5" t="s">
        <v>481</v>
      </c>
      <c r="I106" s="13" t="n">
        <v>9</v>
      </c>
      <c r="J106" s="5" t="s">
        <v>466</v>
      </c>
      <c r="K106" s="5" t="s">
        <v>1103</v>
      </c>
      <c r="L106" s="5" t="s">
        <v>415</v>
      </c>
    </row>
    <row r="107" customFormat="false" ht="15" hidden="false" customHeight="false" outlineLevel="0" collapsed="false">
      <c r="A107" s="5" t="s">
        <v>414</v>
      </c>
      <c r="B107" s="5" t="s">
        <v>984</v>
      </c>
      <c r="C107" s="10" t="n">
        <v>46280</v>
      </c>
      <c r="D107" s="5" t="s">
        <v>827</v>
      </c>
      <c r="E107" s="5" t="s">
        <v>413</v>
      </c>
      <c r="F107" s="5" t="s">
        <v>126</v>
      </c>
      <c r="G107" s="5" t="s">
        <v>474</v>
      </c>
      <c r="H107" s="5" t="s">
        <v>475</v>
      </c>
      <c r="I107" s="13" t="n">
        <v>11</v>
      </c>
      <c r="J107" s="5" t="s">
        <v>466</v>
      </c>
      <c r="K107" s="5" t="s">
        <v>1122</v>
      </c>
      <c r="L107" s="5" t="s">
        <v>415</v>
      </c>
    </row>
    <row r="108" customFormat="false" ht="15" hidden="false" customHeight="false" outlineLevel="0" collapsed="false">
      <c r="A108" s="5" t="s">
        <v>417</v>
      </c>
      <c r="B108" s="5" t="s">
        <v>984</v>
      </c>
      <c r="C108" s="10" t="n">
        <v>46281</v>
      </c>
      <c r="D108" s="5" t="s">
        <v>827</v>
      </c>
      <c r="E108" s="5" t="s">
        <v>416</v>
      </c>
      <c r="F108" s="5" t="s">
        <v>126</v>
      </c>
      <c r="G108" s="5" t="s">
        <v>492</v>
      </c>
      <c r="H108" s="5" t="s">
        <v>493</v>
      </c>
      <c r="I108" s="13" t="n">
        <v>14</v>
      </c>
      <c r="J108" s="5" t="s">
        <v>486</v>
      </c>
      <c r="K108" s="5" t="s">
        <v>1074</v>
      </c>
      <c r="L108" s="5" t="s">
        <v>418</v>
      </c>
    </row>
    <row r="109" customFormat="false" ht="15" hidden="false" customHeight="false" outlineLevel="0" collapsed="false">
      <c r="A109" s="5" t="s">
        <v>1123</v>
      </c>
      <c r="B109" s="5" t="s">
        <v>984</v>
      </c>
      <c r="C109" s="10" t="n">
        <v>46285</v>
      </c>
      <c r="D109" s="5" t="s">
        <v>827</v>
      </c>
      <c r="E109" s="5" t="s">
        <v>419</v>
      </c>
      <c r="F109" s="5" t="s">
        <v>90</v>
      </c>
      <c r="G109" s="5" t="s">
        <v>474</v>
      </c>
      <c r="H109" s="5" t="s">
        <v>475</v>
      </c>
      <c r="I109" s="13" t="n">
        <v>77</v>
      </c>
      <c r="J109" s="5" t="s">
        <v>466</v>
      </c>
      <c r="K109" s="5" t="s">
        <v>1124</v>
      </c>
      <c r="L109" s="5" t="s">
        <v>422</v>
      </c>
    </row>
    <row r="110" customFormat="false" ht="15" hidden="false" customHeight="false" outlineLevel="0" collapsed="false">
      <c r="A110" s="5" t="s">
        <v>1125</v>
      </c>
      <c r="B110" s="5" t="s">
        <v>984</v>
      </c>
      <c r="C110" s="10" t="n">
        <v>46286</v>
      </c>
      <c r="D110" s="5" t="s">
        <v>827</v>
      </c>
      <c r="E110" s="5" t="s">
        <v>423</v>
      </c>
      <c r="F110" s="5" t="s">
        <v>104</v>
      </c>
      <c r="G110" s="5" t="s">
        <v>474</v>
      </c>
      <c r="H110" s="5" t="s">
        <v>475</v>
      </c>
      <c r="I110" s="13" t="n">
        <v>85</v>
      </c>
      <c r="J110" s="5" t="s">
        <v>466</v>
      </c>
      <c r="K110" s="5" t="s">
        <v>1126</v>
      </c>
      <c r="L110" s="5" t="s">
        <v>425</v>
      </c>
    </row>
    <row r="111" customFormat="false" ht="15" hidden="false" customHeight="false" outlineLevel="0" collapsed="false">
      <c r="A111" s="5" t="s">
        <v>1125</v>
      </c>
      <c r="B111" s="5" t="s">
        <v>984</v>
      </c>
      <c r="C111" s="10" t="n">
        <v>46286</v>
      </c>
      <c r="D111" s="5" t="s">
        <v>827</v>
      </c>
      <c r="E111" s="5" t="s">
        <v>423</v>
      </c>
      <c r="F111" s="5" t="s">
        <v>104</v>
      </c>
      <c r="G111" s="5" t="s">
        <v>501</v>
      </c>
      <c r="H111" s="5" t="s">
        <v>502</v>
      </c>
      <c r="I111" s="13" t="n">
        <v>62</v>
      </c>
      <c r="J111" s="5" t="s">
        <v>466</v>
      </c>
      <c r="K111" s="5" t="s">
        <v>1127</v>
      </c>
      <c r="L111" s="5" t="s">
        <v>425</v>
      </c>
    </row>
    <row r="112" customFormat="false" ht="15" hidden="false" customHeight="false" outlineLevel="0" collapsed="false">
      <c r="A112" s="5" t="s">
        <v>1125</v>
      </c>
      <c r="B112" s="5" t="s">
        <v>984</v>
      </c>
      <c r="C112" s="10" t="n">
        <v>46286</v>
      </c>
      <c r="D112" s="5" t="s">
        <v>827</v>
      </c>
      <c r="E112" s="5" t="s">
        <v>423</v>
      </c>
      <c r="F112" s="5" t="s">
        <v>104</v>
      </c>
      <c r="G112" s="5" t="s">
        <v>487</v>
      </c>
      <c r="H112" s="5" t="s">
        <v>488</v>
      </c>
      <c r="I112" s="13" t="n">
        <v>6</v>
      </c>
      <c r="J112" s="5" t="s">
        <v>489</v>
      </c>
      <c r="K112" s="5" t="s">
        <v>1128</v>
      </c>
      <c r="L112" s="5" t="s">
        <v>425</v>
      </c>
    </row>
    <row r="113" customFormat="false" ht="15" hidden="false" customHeight="false" outlineLevel="0" collapsed="false">
      <c r="A113" s="5" t="s">
        <v>1129</v>
      </c>
      <c r="B113" s="5" t="s">
        <v>984</v>
      </c>
      <c r="C113" s="10" t="n">
        <v>46286</v>
      </c>
      <c r="D113" s="5" t="s">
        <v>827</v>
      </c>
      <c r="E113" s="5" t="s">
        <v>426</v>
      </c>
      <c r="F113" s="5" t="s">
        <v>111</v>
      </c>
      <c r="G113" s="5" t="s">
        <v>484</v>
      </c>
      <c r="H113" s="5" t="s">
        <v>485</v>
      </c>
      <c r="I113" s="13" t="n">
        <v>65</v>
      </c>
      <c r="J113" s="5" t="s">
        <v>486</v>
      </c>
      <c r="K113" s="5" t="s">
        <v>1130</v>
      </c>
      <c r="L113" s="5" t="s">
        <v>428</v>
      </c>
    </row>
    <row r="114" customFormat="false" ht="15" hidden="false" customHeight="false" outlineLevel="0" collapsed="false">
      <c r="A114" s="5" t="s">
        <v>1129</v>
      </c>
      <c r="B114" s="5" t="s">
        <v>984</v>
      </c>
      <c r="C114" s="10" t="n">
        <v>46286</v>
      </c>
      <c r="D114" s="5" t="s">
        <v>827</v>
      </c>
      <c r="E114" s="5" t="s">
        <v>426</v>
      </c>
      <c r="F114" s="5" t="s">
        <v>111</v>
      </c>
      <c r="G114" s="5" t="s">
        <v>474</v>
      </c>
      <c r="H114" s="5" t="s">
        <v>475</v>
      </c>
      <c r="I114" s="13" t="n">
        <v>167</v>
      </c>
      <c r="J114" s="5" t="s">
        <v>466</v>
      </c>
      <c r="K114" s="5" t="s">
        <v>1131</v>
      </c>
      <c r="L114" s="5" t="s">
        <v>428</v>
      </c>
    </row>
    <row r="115" customFormat="false" ht="15" hidden="false" customHeight="false" outlineLevel="0" collapsed="false">
      <c r="A115" s="5" t="s">
        <v>1129</v>
      </c>
      <c r="B115" s="5" t="s">
        <v>984</v>
      </c>
      <c r="C115" s="10" t="n">
        <v>46286</v>
      </c>
      <c r="D115" s="5" t="s">
        <v>827</v>
      </c>
      <c r="E115" s="5" t="s">
        <v>426</v>
      </c>
      <c r="F115" s="5" t="s">
        <v>111</v>
      </c>
      <c r="G115" s="5" t="s">
        <v>490</v>
      </c>
      <c r="H115" s="5" t="s">
        <v>491</v>
      </c>
      <c r="I115" s="13" t="n">
        <v>194</v>
      </c>
      <c r="J115" s="5" t="s">
        <v>466</v>
      </c>
      <c r="K115" s="5" t="s">
        <v>1132</v>
      </c>
      <c r="L115" s="5" t="s">
        <v>428</v>
      </c>
    </row>
    <row r="116" customFormat="false" ht="15" hidden="false" customHeight="false" outlineLevel="0" collapsed="false">
      <c r="A116" s="5" t="s">
        <v>1133</v>
      </c>
      <c r="B116" s="5" t="s">
        <v>984</v>
      </c>
      <c r="C116" s="10" t="n">
        <v>46288</v>
      </c>
      <c r="D116" s="5" t="s">
        <v>827</v>
      </c>
      <c r="E116" s="5" t="s">
        <v>432</v>
      </c>
      <c r="F116" s="5" t="s">
        <v>69</v>
      </c>
      <c r="G116" s="5" t="s">
        <v>492</v>
      </c>
      <c r="H116" s="5" t="s">
        <v>493</v>
      </c>
      <c r="I116" s="13" t="n">
        <v>221</v>
      </c>
      <c r="J116" s="5" t="s">
        <v>486</v>
      </c>
      <c r="K116" s="5" t="s">
        <v>1134</v>
      </c>
      <c r="L116" s="5" t="s">
        <v>434</v>
      </c>
    </row>
    <row r="117" customFormat="false" ht="15" hidden="false" customHeight="false" outlineLevel="0" collapsed="false">
      <c r="A117" s="5" t="s">
        <v>1133</v>
      </c>
      <c r="B117" s="5" t="s">
        <v>984</v>
      </c>
      <c r="C117" s="10" t="n">
        <v>46288</v>
      </c>
      <c r="D117" s="5" t="s">
        <v>827</v>
      </c>
      <c r="E117" s="5" t="s">
        <v>432</v>
      </c>
      <c r="F117" s="5" t="s">
        <v>69</v>
      </c>
      <c r="G117" s="5" t="s">
        <v>464</v>
      </c>
      <c r="H117" s="5" t="s">
        <v>465</v>
      </c>
      <c r="I117" s="13" t="n">
        <v>272</v>
      </c>
      <c r="J117" s="5" t="s">
        <v>466</v>
      </c>
      <c r="K117" s="5" t="s">
        <v>1135</v>
      </c>
      <c r="L117" s="5" t="s">
        <v>434</v>
      </c>
    </row>
    <row r="118" customFormat="false" ht="15" hidden="false" customHeight="false" outlineLevel="0" collapsed="false">
      <c r="A118" s="5" t="s">
        <v>1136</v>
      </c>
      <c r="B118" s="5" t="s">
        <v>984</v>
      </c>
      <c r="C118" s="10" t="n">
        <v>46289</v>
      </c>
      <c r="D118" s="5" t="s">
        <v>827</v>
      </c>
      <c r="E118" s="5" t="s">
        <v>429</v>
      </c>
      <c r="F118" s="5" t="s">
        <v>118</v>
      </c>
      <c r="G118" s="5" t="s">
        <v>505</v>
      </c>
      <c r="H118" s="5" t="s">
        <v>506</v>
      </c>
      <c r="I118" s="13" t="n">
        <v>6</v>
      </c>
      <c r="J118" s="5" t="s">
        <v>507</v>
      </c>
      <c r="K118" s="5" t="s">
        <v>1137</v>
      </c>
      <c r="L118" s="5" t="s">
        <v>431</v>
      </c>
    </row>
    <row r="119" customFormat="false" ht="15" hidden="false" customHeight="false" outlineLevel="0" collapsed="false">
      <c r="A119" s="5" t="s">
        <v>1136</v>
      </c>
      <c r="B119" s="5" t="s">
        <v>984</v>
      </c>
      <c r="C119" s="10" t="n">
        <v>46289</v>
      </c>
      <c r="D119" s="5" t="s">
        <v>827</v>
      </c>
      <c r="E119" s="5" t="s">
        <v>429</v>
      </c>
      <c r="F119" s="5" t="s">
        <v>118</v>
      </c>
      <c r="G119" s="5" t="s">
        <v>501</v>
      </c>
      <c r="H119" s="5" t="s">
        <v>502</v>
      </c>
      <c r="I119" s="13" t="n">
        <v>54</v>
      </c>
      <c r="J119" s="5" t="s">
        <v>466</v>
      </c>
      <c r="K119" s="5" t="s">
        <v>1138</v>
      </c>
      <c r="L119" s="5" t="s">
        <v>431</v>
      </c>
    </row>
    <row r="120" customFormat="false" ht="15" hidden="false" customHeight="false" outlineLevel="0" collapsed="false">
      <c r="A120" s="5" t="s">
        <v>1136</v>
      </c>
      <c r="B120" s="5" t="s">
        <v>984</v>
      </c>
      <c r="C120" s="10" t="n">
        <v>46289</v>
      </c>
      <c r="D120" s="5" t="s">
        <v>827</v>
      </c>
      <c r="E120" s="5" t="s">
        <v>429</v>
      </c>
      <c r="F120" s="5" t="s">
        <v>118</v>
      </c>
      <c r="G120" s="5" t="s">
        <v>480</v>
      </c>
      <c r="H120" s="5" t="s">
        <v>481</v>
      </c>
      <c r="I120" s="13" t="n">
        <v>298</v>
      </c>
      <c r="J120" s="5" t="s">
        <v>466</v>
      </c>
      <c r="K120" s="5" t="s">
        <v>1139</v>
      </c>
      <c r="L120" s="5" t="s">
        <v>431</v>
      </c>
    </row>
    <row r="121" customFormat="false" ht="15" hidden="false" customHeight="false" outlineLevel="0" collapsed="false">
      <c r="A121" s="5" t="s">
        <v>1140</v>
      </c>
      <c r="B121" s="5" t="s">
        <v>984</v>
      </c>
      <c r="C121" s="10" t="n">
        <v>46292</v>
      </c>
      <c r="D121" s="5" t="s">
        <v>827</v>
      </c>
      <c r="E121" s="5" t="s">
        <v>438</v>
      </c>
      <c r="F121" s="5" t="s">
        <v>126</v>
      </c>
      <c r="G121" s="5" t="s">
        <v>480</v>
      </c>
      <c r="H121" s="5" t="s">
        <v>481</v>
      </c>
      <c r="I121" s="13" t="n">
        <v>6</v>
      </c>
      <c r="J121" s="5" t="s">
        <v>466</v>
      </c>
      <c r="K121" s="5" t="s">
        <v>1141</v>
      </c>
      <c r="L121" s="5" t="s">
        <v>440</v>
      </c>
    </row>
    <row r="122" customFormat="false" ht="15" hidden="false" customHeight="false" outlineLevel="0" collapsed="false">
      <c r="A122" s="5" t="s">
        <v>444</v>
      </c>
      <c r="B122" s="5" t="s">
        <v>984</v>
      </c>
      <c r="C122" s="10" t="n">
        <v>46294</v>
      </c>
      <c r="D122" s="5" t="s">
        <v>827</v>
      </c>
      <c r="E122" s="5" t="s">
        <v>443</v>
      </c>
      <c r="F122" s="5" t="s">
        <v>76</v>
      </c>
      <c r="G122" s="5" t="s">
        <v>474</v>
      </c>
      <c r="H122" s="5" t="s">
        <v>475</v>
      </c>
      <c r="I122" s="13" t="n">
        <v>217</v>
      </c>
      <c r="J122" s="5" t="s">
        <v>466</v>
      </c>
      <c r="K122" s="5" t="s">
        <v>1142</v>
      </c>
      <c r="L122" s="5" t="s">
        <v>1143</v>
      </c>
    </row>
    <row r="123" customFormat="false" ht="15" hidden="false" customHeight="false" outlineLevel="0" collapsed="false">
      <c r="A123" s="5" t="s">
        <v>444</v>
      </c>
      <c r="B123" s="5" t="s">
        <v>984</v>
      </c>
      <c r="C123" s="10" t="n">
        <v>46294</v>
      </c>
      <c r="D123" s="5" t="s">
        <v>827</v>
      </c>
      <c r="E123" s="5" t="s">
        <v>443</v>
      </c>
      <c r="F123" s="5" t="s">
        <v>76</v>
      </c>
      <c r="G123" s="5" t="s">
        <v>480</v>
      </c>
      <c r="H123" s="5" t="s">
        <v>481</v>
      </c>
      <c r="I123" s="13" t="n">
        <v>301</v>
      </c>
      <c r="J123" s="5" t="s">
        <v>466</v>
      </c>
      <c r="K123" s="5" t="s">
        <v>1144</v>
      </c>
      <c r="L123" s="5" t="s">
        <v>1143</v>
      </c>
    </row>
    <row r="124" customFormat="false" ht="15" hidden="false" customHeight="false" outlineLevel="0" collapsed="false">
      <c r="A124" s="5" t="s">
        <v>444</v>
      </c>
      <c r="B124" s="5" t="s">
        <v>984</v>
      </c>
      <c r="C124" s="10" t="n">
        <v>46294</v>
      </c>
      <c r="D124" s="5" t="s">
        <v>827</v>
      </c>
      <c r="E124" s="5" t="s">
        <v>443</v>
      </c>
      <c r="F124" s="5" t="s">
        <v>76</v>
      </c>
      <c r="G124" s="5" t="s">
        <v>492</v>
      </c>
      <c r="H124" s="5" t="s">
        <v>493</v>
      </c>
      <c r="I124" s="13" t="n">
        <v>157</v>
      </c>
      <c r="J124" s="5" t="s">
        <v>486</v>
      </c>
      <c r="K124" s="5" t="s">
        <v>1145</v>
      </c>
      <c r="L124" s="5" t="s">
        <v>1143</v>
      </c>
    </row>
    <row r="125" customFormat="false" ht="15" hidden="false" customHeight="false" outlineLevel="0" collapsed="false">
      <c r="A125" s="5" t="s">
        <v>1146</v>
      </c>
      <c r="B125" s="5" t="s">
        <v>984</v>
      </c>
      <c r="C125" s="10" t="n">
        <v>46295</v>
      </c>
      <c r="D125" s="5" t="s">
        <v>827</v>
      </c>
      <c r="E125" s="5" t="s">
        <v>445</v>
      </c>
      <c r="F125" s="5" t="s">
        <v>83</v>
      </c>
      <c r="G125" s="5" t="s">
        <v>480</v>
      </c>
      <c r="H125" s="5" t="s">
        <v>481</v>
      </c>
      <c r="I125" s="13" t="n">
        <v>398</v>
      </c>
      <c r="J125" s="5" t="s">
        <v>466</v>
      </c>
      <c r="K125" s="5" t="s">
        <v>1147</v>
      </c>
      <c r="L125" s="5" t="s">
        <v>447</v>
      </c>
    </row>
    <row r="126" customFormat="false" ht="15" hidden="false" customHeight="false" outlineLevel="0" collapsed="false">
      <c r="A126" s="5" t="s">
        <v>1146</v>
      </c>
      <c r="B126" s="5" t="s">
        <v>984</v>
      </c>
      <c r="C126" s="10" t="n">
        <v>46295</v>
      </c>
      <c r="D126" s="5" t="s">
        <v>827</v>
      </c>
      <c r="E126" s="5" t="s">
        <v>445</v>
      </c>
      <c r="F126" s="5" t="s">
        <v>83</v>
      </c>
      <c r="G126" s="5" t="s">
        <v>464</v>
      </c>
      <c r="H126" s="5" t="s">
        <v>465</v>
      </c>
      <c r="I126" s="13" t="n">
        <v>342</v>
      </c>
      <c r="J126" s="5" t="s">
        <v>466</v>
      </c>
      <c r="K126" s="5" t="s">
        <v>1148</v>
      </c>
      <c r="L126" s="5" t="s">
        <v>447</v>
      </c>
    </row>
    <row r="127" customFormat="false" ht="15" hidden="false" customHeight="false" outlineLevel="0" collapsed="false">
      <c r="A127" s="5" t="s">
        <v>1149</v>
      </c>
      <c r="B127" s="5" t="s">
        <v>984</v>
      </c>
      <c r="C127" s="10" t="n">
        <v>46154</v>
      </c>
      <c r="D127" s="5" t="s">
        <v>815</v>
      </c>
      <c r="E127" s="5" t="s">
        <v>188</v>
      </c>
      <c r="F127" s="5" t="s">
        <v>38</v>
      </c>
      <c r="G127" s="5" t="s">
        <v>461</v>
      </c>
      <c r="H127" s="5" t="s">
        <v>462</v>
      </c>
      <c r="I127" s="13" t="n">
        <v>3</v>
      </c>
      <c r="J127" s="5" t="s">
        <v>463</v>
      </c>
      <c r="K127" s="5" t="s">
        <v>1150</v>
      </c>
      <c r="L127" s="5" t="s">
        <v>192</v>
      </c>
    </row>
    <row r="128" customFormat="false" ht="15" hidden="false" customHeight="false" outlineLevel="0" collapsed="false">
      <c r="A128" s="5" t="s">
        <v>1151</v>
      </c>
      <c r="B128" s="5" t="s">
        <v>984</v>
      </c>
      <c r="C128" s="10" t="n">
        <v>46154</v>
      </c>
      <c r="D128" s="5" t="s">
        <v>815</v>
      </c>
      <c r="E128" s="5" t="s">
        <v>193</v>
      </c>
      <c r="F128" s="5" t="s">
        <v>55</v>
      </c>
      <c r="G128" s="5" t="s">
        <v>467</v>
      </c>
      <c r="H128" s="5" t="s">
        <v>468</v>
      </c>
      <c r="I128" s="13" t="n">
        <v>2</v>
      </c>
      <c r="J128" s="5" t="s">
        <v>469</v>
      </c>
      <c r="K128" s="5" t="s">
        <v>1152</v>
      </c>
      <c r="L128" s="5" t="s">
        <v>195</v>
      </c>
    </row>
    <row r="129" customFormat="false" ht="15" hidden="false" customHeight="false" outlineLevel="0" collapsed="false">
      <c r="A129" s="5" t="s">
        <v>1151</v>
      </c>
      <c r="B129" s="5" t="s">
        <v>984</v>
      </c>
      <c r="C129" s="10" t="n">
        <v>46154</v>
      </c>
      <c r="D129" s="5" t="s">
        <v>815</v>
      </c>
      <c r="E129" s="5" t="s">
        <v>193</v>
      </c>
      <c r="F129" s="5" t="s">
        <v>55</v>
      </c>
      <c r="G129" s="5" t="s">
        <v>472</v>
      </c>
      <c r="H129" s="5" t="s">
        <v>473</v>
      </c>
      <c r="I129" s="13" t="n">
        <v>3</v>
      </c>
      <c r="J129" s="5" t="s">
        <v>469</v>
      </c>
      <c r="K129" s="5" t="s">
        <v>1153</v>
      </c>
      <c r="L129" s="5" t="s">
        <v>195</v>
      </c>
    </row>
    <row r="130" customFormat="false" ht="15" hidden="false" customHeight="false" outlineLevel="0" collapsed="false">
      <c r="A130" s="5" t="s">
        <v>1154</v>
      </c>
      <c r="B130" s="5" t="s">
        <v>984</v>
      </c>
      <c r="C130" s="10" t="n">
        <v>46159</v>
      </c>
      <c r="D130" s="5" t="s">
        <v>815</v>
      </c>
      <c r="E130" s="5" t="s">
        <v>196</v>
      </c>
      <c r="F130" s="5" t="s">
        <v>69</v>
      </c>
      <c r="G130" s="5" t="s">
        <v>476</v>
      </c>
      <c r="H130" s="5" t="s">
        <v>477</v>
      </c>
      <c r="I130" s="13" t="n">
        <v>2</v>
      </c>
      <c r="J130" s="5" t="s">
        <v>469</v>
      </c>
      <c r="K130" s="5" t="s">
        <v>1155</v>
      </c>
      <c r="L130" s="5" t="s">
        <v>198</v>
      </c>
    </row>
    <row r="131" customFormat="false" ht="15" hidden="false" customHeight="false" outlineLevel="0" collapsed="false">
      <c r="A131" s="5" t="s">
        <v>1156</v>
      </c>
      <c r="B131" s="5" t="s">
        <v>984</v>
      </c>
      <c r="C131" s="10" t="n">
        <v>46166</v>
      </c>
      <c r="D131" s="5" t="s">
        <v>815</v>
      </c>
      <c r="E131" s="5" t="s">
        <v>208</v>
      </c>
      <c r="F131" s="5" t="s">
        <v>97</v>
      </c>
      <c r="G131" s="5" t="s">
        <v>467</v>
      </c>
      <c r="H131" s="5" t="s">
        <v>468</v>
      </c>
      <c r="I131" s="13" t="n">
        <v>2</v>
      </c>
      <c r="J131" s="5" t="s">
        <v>469</v>
      </c>
      <c r="K131" s="5" t="s">
        <v>1157</v>
      </c>
      <c r="L131" s="5" t="s">
        <v>210</v>
      </c>
    </row>
    <row r="132" customFormat="false" ht="15" hidden="false" customHeight="false" outlineLevel="0" collapsed="false">
      <c r="A132" s="5" t="s">
        <v>1158</v>
      </c>
      <c r="B132" s="5" t="s">
        <v>984</v>
      </c>
      <c r="C132" s="10" t="n">
        <v>46169</v>
      </c>
      <c r="D132" s="5" t="s">
        <v>815</v>
      </c>
      <c r="E132" s="5" t="s">
        <v>223</v>
      </c>
      <c r="F132" s="5" t="s">
        <v>118</v>
      </c>
      <c r="G132" s="5" t="s">
        <v>467</v>
      </c>
      <c r="H132" s="5" t="s">
        <v>468</v>
      </c>
      <c r="I132" s="13" t="n">
        <v>4</v>
      </c>
      <c r="J132" s="5" t="s">
        <v>469</v>
      </c>
      <c r="K132" s="5" t="s">
        <v>1159</v>
      </c>
      <c r="L132" s="5" t="s">
        <v>225</v>
      </c>
    </row>
    <row r="133" customFormat="false" ht="15" hidden="false" customHeight="false" outlineLevel="0" collapsed="false">
      <c r="A133" s="5" t="s">
        <v>1160</v>
      </c>
      <c r="B133" s="5" t="s">
        <v>984</v>
      </c>
      <c r="C133" s="10" t="n">
        <v>46174</v>
      </c>
      <c r="D133" s="5" t="s">
        <v>815</v>
      </c>
      <c r="E133" s="5" t="s">
        <v>229</v>
      </c>
      <c r="F133" s="5" t="s">
        <v>90</v>
      </c>
      <c r="G133" s="5" t="s">
        <v>472</v>
      </c>
      <c r="H133" s="5" t="s">
        <v>473</v>
      </c>
      <c r="I133" s="13" t="n">
        <v>1</v>
      </c>
      <c r="J133" s="5" t="s">
        <v>469</v>
      </c>
      <c r="K133" s="5" t="s">
        <v>1161</v>
      </c>
      <c r="L133" s="5" t="s">
        <v>231</v>
      </c>
    </row>
    <row r="134" customFormat="false" ht="15" hidden="false" customHeight="false" outlineLevel="0" collapsed="false">
      <c r="A134" s="5" t="s">
        <v>1162</v>
      </c>
      <c r="B134" s="5" t="s">
        <v>984</v>
      </c>
      <c r="C134" s="10" t="n">
        <v>46177</v>
      </c>
      <c r="D134" s="5" t="s">
        <v>815</v>
      </c>
      <c r="E134" s="5" t="s">
        <v>235</v>
      </c>
      <c r="F134" s="5" t="s">
        <v>62</v>
      </c>
      <c r="G134" s="5" t="s">
        <v>467</v>
      </c>
      <c r="H134" s="5" t="s">
        <v>468</v>
      </c>
      <c r="I134" s="13" t="n">
        <v>2</v>
      </c>
      <c r="J134" s="5" t="s">
        <v>469</v>
      </c>
      <c r="K134" s="5" t="s">
        <v>1163</v>
      </c>
      <c r="L134" s="5" t="s">
        <v>237</v>
      </c>
    </row>
    <row r="135" customFormat="false" ht="15" hidden="false" customHeight="false" outlineLevel="0" collapsed="false">
      <c r="A135" s="5" t="s">
        <v>240</v>
      </c>
      <c r="B135" s="5" t="s">
        <v>984</v>
      </c>
      <c r="C135" s="10" t="n">
        <v>46180</v>
      </c>
      <c r="D135" s="5" t="s">
        <v>815</v>
      </c>
      <c r="E135" s="5" t="s">
        <v>238</v>
      </c>
      <c r="F135" s="5" t="s">
        <v>111</v>
      </c>
      <c r="G135" s="5" t="s">
        <v>461</v>
      </c>
      <c r="H135" s="5" t="s">
        <v>462</v>
      </c>
      <c r="I135" s="13" t="n">
        <v>2</v>
      </c>
      <c r="J135" s="5" t="s">
        <v>463</v>
      </c>
      <c r="K135" s="5" t="s">
        <v>1164</v>
      </c>
      <c r="L135" s="5" t="s">
        <v>241</v>
      </c>
    </row>
    <row r="136" customFormat="false" ht="15" hidden="false" customHeight="false" outlineLevel="0" collapsed="false">
      <c r="A136" s="5" t="s">
        <v>240</v>
      </c>
      <c r="B136" s="5" t="s">
        <v>984</v>
      </c>
      <c r="C136" s="10" t="n">
        <v>46180</v>
      </c>
      <c r="D136" s="5" t="s">
        <v>815</v>
      </c>
      <c r="E136" s="5" t="s">
        <v>238</v>
      </c>
      <c r="F136" s="5" t="s">
        <v>111</v>
      </c>
      <c r="G136" s="5" t="s">
        <v>476</v>
      </c>
      <c r="H136" s="5" t="s">
        <v>477</v>
      </c>
      <c r="I136" s="13" t="n">
        <v>2</v>
      </c>
      <c r="J136" s="5" t="s">
        <v>469</v>
      </c>
      <c r="K136" s="5" t="s">
        <v>1165</v>
      </c>
      <c r="L136" s="5" t="s">
        <v>241</v>
      </c>
    </row>
    <row r="137" customFormat="false" ht="15" hidden="false" customHeight="false" outlineLevel="0" collapsed="false">
      <c r="A137" s="5" t="s">
        <v>240</v>
      </c>
      <c r="B137" s="5" t="s">
        <v>984</v>
      </c>
      <c r="C137" s="10" t="n">
        <v>46180</v>
      </c>
      <c r="D137" s="5" t="s">
        <v>815</v>
      </c>
      <c r="E137" s="5" t="s">
        <v>238</v>
      </c>
      <c r="F137" s="5" t="s">
        <v>111</v>
      </c>
      <c r="G137" s="5" t="s">
        <v>496</v>
      </c>
      <c r="H137" s="5" t="s">
        <v>497</v>
      </c>
      <c r="I137" s="13" t="n">
        <v>3</v>
      </c>
      <c r="J137" s="5" t="s">
        <v>469</v>
      </c>
      <c r="K137" s="5" t="s">
        <v>1166</v>
      </c>
      <c r="L137" s="5" t="s">
        <v>241</v>
      </c>
    </row>
    <row r="138" customFormat="false" ht="15" hidden="false" customHeight="false" outlineLevel="0" collapsed="false">
      <c r="A138" s="5" t="s">
        <v>1167</v>
      </c>
      <c r="B138" s="5" t="s">
        <v>984</v>
      </c>
      <c r="C138" s="10" t="n">
        <v>46183</v>
      </c>
      <c r="D138" s="5" t="s">
        <v>815</v>
      </c>
      <c r="E138" s="5" t="s">
        <v>248</v>
      </c>
      <c r="F138" s="5" t="s">
        <v>47</v>
      </c>
      <c r="G138" s="5" t="s">
        <v>467</v>
      </c>
      <c r="H138" s="5" t="s">
        <v>468</v>
      </c>
      <c r="I138" s="13" t="n">
        <v>4</v>
      </c>
      <c r="J138" s="5" t="s">
        <v>469</v>
      </c>
      <c r="K138" s="5" t="s">
        <v>1168</v>
      </c>
      <c r="L138" s="5" t="s">
        <v>250</v>
      </c>
    </row>
    <row r="139" customFormat="false" ht="15" hidden="false" customHeight="false" outlineLevel="0" collapsed="false">
      <c r="A139" s="5" t="s">
        <v>1169</v>
      </c>
      <c r="B139" s="5" t="s">
        <v>984</v>
      </c>
      <c r="C139" s="10" t="n">
        <v>46187</v>
      </c>
      <c r="D139" s="5" t="s">
        <v>815</v>
      </c>
      <c r="E139" s="5" t="s">
        <v>254</v>
      </c>
      <c r="F139" s="5" t="s">
        <v>104</v>
      </c>
      <c r="G139" s="5" t="s">
        <v>472</v>
      </c>
      <c r="H139" s="5" t="s">
        <v>473</v>
      </c>
      <c r="I139" s="13" t="n">
        <v>1</v>
      </c>
      <c r="J139" s="5" t="s">
        <v>469</v>
      </c>
      <c r="K139" s="5" t="s">
        <v>1170</v>
      </c>
      <c r="L139" s="5" t="s">
        <v>256</v>
      </c>
    </row>
    <row r="140" customFormat="false" ht="15" hidden="false" customHeight="false" outlineLevel="0" collapsed="false">
      <c r="A140" s="5" t="s">
        <v>1171</v>
      </c>
      <c r="B140" s="5" t="s">
        <v>984</v>
      </c>
      <c r="C140" s="10" t="n">
        <v>46195</v>
      </c>
      <c r="D140" s="5" t="s">
        <v>815</v>
      </c>
      <c r="E140" s="5" t="s">
        <v>266</v>
      </c>
      <c r="F140" s="5" t="s">
        <v>55</v>
      </c>
      <c r="G140" s="5" t="s">
        <v>496</v>
      </c>
      <c r="H140" s="5" t="s">
        <v>497</v>
      </c>
      <c r="I140" s="13" t="n">
        <v>3</v>
      </c>
      <c r="J140" s="5" t="s">
        <v>469</v>
      </c>
      <c r="K140" s="5" t="s">
        <v>1172</v>
      </c>
      <c r="L140" s="5" t="s">
        <v>268</v>
      </c>
    </row>
    <row r="141" customFormat="false" ht="15" hidden="false" customHeight="false" outlineLevel="0" collapsed="false">
      <c r="A141" s="5" t="s">
        <v>1173</v>
      </c>
      <c r="B141" s="5" t="s">
        <v>984</v>
      </c>
      <c r="C141" s="10" t="n">
        <v>46204</v>
      </c>
      <c r="D141" s="5" t="s">
        <v>815</v>
      </c>
      <c r="E141" s="5" t="s">
        <v>275</v>
      </c>
      <c r="F141" s="5" t="s">
        <v>62</v>
      </c>
      <c r="G141" s="5" t="s">
        <v>503</v>
      </c>
      <c r="H141" s="5" t="s">
        <v>504</v>
      </c>
      <c r="I141" s="13" t="n">
        <v>2</v>
      </c>
      <c r="J141" s="5" t="s">
        <v>469</v>
      </c>
      <c r="K141" s="5" t="s">
        <v>1174</v>
      </c>
      <c r="L141" s="5" t="s">
        <v>277</v>
      </c>
    </row>
    <row r="142" customFormat="false" ht="15" hidden="false" customHeight="false" outlineLevel="0" collapsed="false">
      <c r="A142" s="5" t="s">
        <v>1175</v>
      </c>
      <c r="B142" s="5" t="s">
        <v>984</v>
      </c>
      <c r="C142" s="10" t="n">
        <v>46205</v>
      </c>
      <c r="D142" s="5" t="s">
        <v>815</v>
      </c>
      <c r="E142" s="5" t="s">
        <v>281</v>
      </c>
      <c r="F142" s="5" t="s">
        <v>38</v>
      </c>
      <c r="G142" s="5" t="s">
        <v>476</v>
      </c>
      <c r="H142" s="5" t="s">
        <v>477</v>
      </c>
      <c r="I142" s="13" t="n">
        <v>1</v>
      </c>
      <c r="J142" s="5" t="s">
        <v>469</v>
      </c>
      <c r="K142" s="5" t="s">
        <v>1176</v>
      </c>
      <c r="L142" s="5" t="s">
        <v>283</v>
      </c>
    </row>
    <row r="143" customFormat="false" ht="15" hidden="false" customHeight="false" outlineLevel="0" collapsed="false">
      <c r="A143" s="5" t="s">
        <v>1177</v>
      </c>
      <c r="B143" s="5" t="s">
        <v>984</v>
      </c>
      <c r="C143" s="10" t="n">
        <v>46208</v>
      </c>
      <c r="D143" s="5" t="s">
        <v>815</v>
      </c>
      <c r="E143" s="5" t="s">
        <v>284</v>
      </c>
      <c r="F143" s="5" t="s">
        <v>97</v>
      </c>
      <c r="G143" s="5" t="s">
        <v>496</v>
      </c>
      <c r="H143" s="5" t="s">
        <v>497</v>
      </c>
      <c r="I143" s="13" t="n">
        <v>4</v>
      </c>
      <c r="J143" s="5" t="s">
        <v>469</v>
      </c>
      <c r="K143" s="5" t="s">
        <v>1178</v>
      </c>
      <c r="L143" s="5" t="s">
        <v>286</v>
      </c>
    </row>
    <row r="144" customFormat="false" ht="15" hidden="false" customHeight="false" outlineLevel="0" collapsed="false">
      <c r="A144" s="5" t="s">
        <v>1179</v>
      </c>
      <c r="B144" s="5" t="s">
        <v>984</v>
      </c>
      <c r="C144" s="10" t="n">
        <v>46212</v>
      </c>
      <c r="D144" s="5" t="s">
        <v>815</v>
      </c>
      <c r="E144" s="5" t="s">
        <v>291</v>
      </c>
      <c r="F144" s="5" t="s">
        <v>118</v>
      </c>
      <c r="G144" s="5" t="s">
        <v>467</v>
      </c>
      <c r="H144" s="5" t="s">
        <v>468</v>
      </c>
      <c r="I144" s="13" t="n">
        <v>3</v>
      </c>
      <c r="J144" s="5" t="s">
        <v>469</v>
      </c>
      <c r="K144" s="5" t="s">
        <v>1180</v>
      </c>
      <c r="L144" s="5" t="s">
        <v>293</v>
      </c>
    </row>
    <row r="145" customFormat="false" ht="15" hidden="false" customHeight="false" outlineLevel="0" collapsed="false">
      <c r="A145" s="5" t="s">
        <v>1181</v>
      </c>
      <c r="B145" s="5" t="s">
        <v>984</v>
      </c>
      <c r="C145" s="10" t="n">
        <v>46215</v>
      </c>
      <c r="D145" s="5" t="s">
        <v>815</v>
      </c>
      <c r="E145" s="5" t="s">
        <v>294</v>
      </c>
      <c r="F145" s="5" t="s">
        <v>55</v>
      </c>
      <c r="G145" s="5" t="s">
        <v>476</v>
      </c>
      <c r="H145" s="5" t="s">
        <v>477</v>
      </c>
      <c r="I145" s="13" t="n">
        <v>1</v>
      </c>
      <c r="J145" s="5" t="s">
        <v>469</v>
      </c>
      <c r="K145" s="5" t="s">
        <v>1182</v>
      </c>
      <c r="L145" s="5" t="s">
        <v>296</v>
      </c>
    </row>
    <row r="146" customFormat="false" ht="15" hidden="false" customHeight="false" outlineLevel="0" collapsed="false">
      <c r="A146" s="5" t="s">
        <v>1183</v>
      </c>
      <c r="B146" s="5" t="s">
        <v>984</v>
      </c>
      <c r="C146" s="10" t="n">
        <v>46216</v>
      </c>
      <c r="D146" s="5" t="s">
        <v>815</v>
      </c>
      <c r="E146" s="5" t="s">
        <v>303</v>
      </c>
      <c r="F146" s="5" t="s">
        <v>69</v>
      </c>
      <c r="G146" s="5" t="s">
        <v>467</v>
      </c>
      <c r="H146" s="5" t="s">
        <v>468</v>
      </c>
      <c r="I146" s="13" t="n">
        <v>6</v>
      </c>
      <c r="J146" s="5" t="s">
        <v>469</v>
      </c>
      <c r="K146" s="5" t="s">
        <v>1184</v>
      </c>
      <c r="L146" s="5" t="s">
        <v>305</v>
      </c>
    </row>
    <row r="147" customFormat="false" ht="15" hidden="false" customHeight="false" outlineLevel="0" collapsed="false">
      <c r="A147" s="5" t="s">
        <v>1185</v>
      </c>
      <c r="B147" s="5" t="s">
        <v>984</v>
      </c>
      <c r="C147" s="10" t="n">
        <v>46219</v>
      </c>
      <c r="D147" s="5" t="s">
        <v>815</v>
      </c>
      <c r="E147" s="5" t="s">
        <v>309</v>
      </c>
      <c r="F147" s="5" t="s">
        <v>90</v>
      </c>
      <c r="G147" s="5" t="s">
        <v>496</v>
      </c>
      <c r="H147" s="5" t="s">
        <v>497</v>
      </c>
      <c r="I147" s="13" t="n">
        <v>2</v>
      </c>
      <c r="J147" s="5" t="s">
        <v>469</v>
      </c>
      <c r="K147" s="5" t="s">
        <v>1186</v>
      </c>
      <c r="L147" s="5" t="s">
        <v>311</v>
      </c>
    </row>
    <row r="148" customFormat="false" ht="15" hidden="false" customHeight="false" outlineLevel="0" collapsed="false">
      <c r="A148" s="5" t="s">
        <v>1187</v>
      </c>
      <c r="B148" s="5" t="s">
        <v>984</v>
      </c>
      <c r="C148" s="10" t="n">
        <v>46223</v>
      </c>
      <c r="D148" s="5" t="s">
        <v>815</v>
      </c>
      <c r="E148" s="5" t="s">
        <v>312</v>
      </c>
      <c r="F148" s="5" t="s">
        <v>62</v>
      </c>
      <c r="G148" s="5" t="s">
        <v>467</v>
      </c>
      <c r="H148" s="5" t="s">
        <v>468</v>
      </c>
      <c r="I148" s="13" t="n">
        <v>5</v>
      </c>
      <c r="J148" s="5" t="s">
        <v>469</v>
      </c>
      <c r="K148" s="5" t="s">
        <v>1188</v>
      </c>
      <c r="L148" s="5" t="s">
        <v>314</v>
      </c>
    </row>
    <row r="149" customFormat="false" ht="15" hidden="false" customHeight="false" outlineLevel="0" collapsed="false">
      <c r="A149" s="5" t="s">
        <v>1189</v>
      </c>
      <c r="B149" s="5" t="s">
        <v>984</v>
      </c>
      <c r="C149" s="10" t="n">
        <v>46223</v>
      </c>
      <c r="D149" s="5" t="s">
        <v>815</v>
      </c>
      <c r="E149" s="5" t="s">
        <v>318</v>
      </c>
      <c r="F149" s="5" t="s">
        <v>38</v>
      </c>
      <c r="G149" s="5" t="s">
        <v>503</v>
      </c>
      <c r="H149" s="5" t="s">
        <v>504</v>
      </c>
      <c r="I149" s="13" t="n">
        <v>2</v>
      </c>
      <c r="J149" s="5" t="s">
        <v>469</v>
      </c>
      <c r="K149" s="5" t="s">
        <v>1190</v>
      </c>
      <c r="L149" s="5" t="s">
        <v>320</v>
      </c>
    </row>
    <row r="150" customFormat="false" ht="15" hidden="false" customHeight="false" outlineLevel="0" collapsed="false">
      <c r="A150" s="5" t="s">
        <v>1191</v>
      </c>
      <c r="B150" s="5" t="s">
        <v>984</v>
      </c>
      <c r="C150" s="10" t="n">
        <v>46224</v>
      </c>
      <c r="D150" s="5" t="s">
        <v>815</v>
      </c>
      <c r="E150" s="5" t="s">
        <v>315</v>
      </c>
      <c r="F150" s="5" t="s">
        <v>111</v>
      </c>
      <c r="G150" s="5" t="s">
        <v>467</v>
      </c>
      <c r="H150" s="5" t="s">
        <v>468</v>
      </c>
      <c r="I150" s="13" t="n">
        <v>4</v>
      </c>
      <c r="J150" s="5" t="s">
        <v>469</v>
      </c>
      <c r="K150" s="5" t="s">
        <v>1192</v>
      </c>
      <c r="L150" s="5" t="s">
        <v>317</v>
      </c>
    </row>
    <row r="151" customFormat="false" ht="15" hidden="false" customHeight="false" outlineLevel="0" collapsed="false">
      <c r="A151" s="5" t="s">
        <v>1193</v>
      </c>
      <c r="B151" s="5" t="s">
        <v>984</v>
      </c>
      <c r="C151" s="10" t="n">
        <v>46236</v>
      </c>
      <c r="D151" s="5" t="s">
        <v>815</v>
      </c>
      <c r="E151" s="5" t="s">
        <v>333</v>
      </c>
      <c r="F151" s="5" t="s">
        <v>104</v>
      </c>
      <c r="G151" s="5" t="s">
        <v>508</v>
      </c>
      <c r="H151" s="5" t="s">
        <v>509</v>
      </c>
      <c r="I151" s="13" t="n">
        <v>3</v>
      </c>
      <c r="J151" s="5" t="s">
        <v>469</v>
      </c>
      <c r="K151" s="5" t="s">
        <v>1194</v>
      </c>
      <c r="L151" s="5" t="s">
        <v>335</v>
      </c>
    </row>
    <row r="152" customFormat="false" ht="15" hidden="false" customHeight="false" outlineLevel="0" collapsed="false">
      <c r="A152" s="5" t="s">
        <v>1193</v>
      </c>
      <c r="B152" s="5" t="s">
        <v>984</v>
      </c>
      <c r="C152" s="10" t="n">
        <v>46236</v>
      </c>
      <c r="D152" s="5" t="s">
        <v>815</v>
      </c>
      <c r="E152" s="5" t="s">
        <v>333</v>
      </c>
      <c r="F152" s="5" t="s">
        <v>104</v>
      </c>
      <c r="G152" s="5" t="s">
        <v>476</v>
      </c>
      <c r="H152" s="5" t="s">
        <v>477</v>
      </c>
      <c r="I152" s="13" t="n">
        <v>2</v>
      </c>
      <c r="J152" s="5" t="s">
        <v>469</v>
      </c>
      <c r="K152" s="5" t="s">
        <v>1195</v>
      </c>
      <c r="L152" s="5" t="s">
        <v>335</v>
      </c>
    </row>
    <row r="153" customFormat="false" ht="15" hidden="false" customHeight="false" outlineLevel="0" collapsed="false">
      <c r="A153" s="5" t="s">
        <v>1196</v>
      </c>
      <c r="B153" s="5" t="s">
        <v>984</v>
      </c>
      <c r="C153" s="10" t="n">
        <v>46246</v>
      </c>
      <c r="D153" s="5" t="s">
        <v>815</v>
      </c>
      <c r="E153" s="5" t="s">
        <v>349</v>
      </c>
      <c r="F153" s="5" t="s">
        <v>55</v>
      </c>
      <c r="G153" s="5" t="s">
        <v>508</v>
      </c>
      <c r="H153" s="5" t="s">
        <v>509</v>
      </c>
      <c r="I153" s="13" t="n">
        <v>3</v>
      </c>
      <c r="J153" s="5" t="s">
        <v>469</v>
      </c>
      <c r="K153" s="5" t="s">
        <v>1197</v>
      </c>
      <c r="L153" s="5" t="s">
        <v>351</v>
      </c>
    </row>
    <row r="154" customFormat="false" ht="15" hidden="false" customHeight="false" outlineLevel="0" collapsed="false">
      <c r="A154" s="5" t="s">
        <v>1196</v>
      </c>
      <c r="B154" s="5" t="s">
        <v>984</v>
      </c>
      <c r="C154" s="10" t="n">
        <v>46246</v>
      </c>
      <c r="D154" s="5" t="s">
        <v>815</v>
      </c>
      <c r="E154" s="5" t="s">
        <v>349</v>
      </c>
      <c r="F154" s="5" t="s">
        <v>55</v>
      </c>
      <c r="G154" s="5" t="s">
        <v>467</v>
      </c>
      <c r="H154" s="5" t="s">
        <v>468</v>
      </c>
      <c r="I154" s="13" t="n">
        <v>5</v>
      </c>
      <c r="J154" s="5" t="s">
        <v>469</v>
      </c>
      <c r="K154" s="5" t="s">
        <v>1198</v>
      </c>
      <c r="L154" s="5" t="s">
        <v>351</v>
      </c>
    </row>
    <row r="155" customFormat="false" ht="15" hidden="false" customHeight="false" outlineLevel="0" collapsed="false">
      <c r="A155" s="5" t="s">
        <v>1199</v>
      </c>
      <c r="B155" s="5" t="s">
        <v>984</v>
      </c>
      <c r="C155" s="10" t="n">
        <v>46246</v>
      </c>
      <c r="D155" s="5" t="s">
        <v>815</v>
      </c>
      <c r="E155" s="5" t="s">
        <v>355</v>
      </c>
      <c r="F155" s="5" t="s">
        <v>118</v>
      </c>
      <c r="G155" s="5" t="s">
        <v>467</v>
      </c>
      <c r="H155" s="5" t="s">
        <v>468</v>
      </c>
      <c r="I155" s="13" t="n">
        <v>3</v>
      </c>
      <c r="J155" s="5" t="s">
        <v>469</v>
      </c>
      <c r="K155" s="5" t="s">
        <v>1200</v>
      </c>
      <c r="L155" s="5" t="s">
        <v>357</v>
      </c>
    </row>
    <row r="156" customFormat="false" ht="15" hidden="false" customHeight="false" outlineLevel="0" collapsed="false">
      <c r="A156" s="5" t="s">
        <v>1201</v>
      </c>
      <c r="B156" s="5" t="s">
        <v>984</v>
      </c>
      <c r="C156" s="10" t="n">
        <v>46251</v>
      </c>
      <c r="D156" s="5" t="s">
        <v>815</v>
      </c>
      <c r="E156" s="5" t="s">
        <v>367</v>
      </c>
      <c r="F156" s="5" t="s">
        <v>69</v>
      </c>
      <c r="G156" s="5" t="s">
        <v>476</v>
      </c>
      <c r="H156" s="5" t="s">
        <v>477</v>
      </c>
      <c r="I156" s="13" t="n">
        <v>1</v>
      </c>
      <c r="J156" s="5" t="s">
        <v>469</v>
      </c>
      <c r="K156" s="5" t="s">
        <v>1202</v>
      </c>
      <c r="L156" s="5" t="s">
        <v>369</v>
      </c>
    </row>
    <row r="157" customFormat="false" ht="15" hidden="false" customHeight="false" outlineLevel="0" collapsed="false">
      <c r="A157" s="5" t="s">
        <v>359</v>
      </c>
      <c r="B157" s="5" t="s">
        <v>984</v>
      </c>
      <c r="C157" s="10" t="n">
        <v>46252</v>
      </c>
      <c r="D157" s="5" t="s">
        <v>815</v>
      </c>
      <c r="E157" s="5" t="s">
        <v>358</v>
      </c>
      <c r="F157" s="5" t="s">
        <v>83</v>
      </c>
      <c r="G157" s="5" t="s">
        <v>510</v>
      </c>
      <c r="H157" s="5" t="s">
        <v>511</v>
      </c>
      <c r="I157" s="13" t="n">
        <v>1</v>
      </c>
      <c r="J157" s="5" t="s">
        <v>469</v>
      </c>
      <c r="K157" s="5" t="s">
        <v>1203</v>
      </c>
      <c r="L157" s="5" t="s">
        <v>360</v>
      </c>
    </row>
    <row r="158" customFormat="false" ht="15" hidden="false" customHeight="false" outlineLevel="0" collapsed="false">
      <c r="A158" s="5" t="s">
        <v>1204</v>
      </c>
      <c r="B158" s="5" t="s">
        <v>984</v>
      </c>
      <c r="C158" s="10" t="n">
        <v>46254</v>
      </c>
      <c r="D158" s="5" t="s">
        <v>815</v>
      </c>
      <c r="E158" s="5" t="s">
        <v>370</v>
      </c>
      <c r="F158" s="5" t="s">
        <v>111</v>
      </c>
      <c r="G158" s="5" t="s">
        <v>472</v>
      </c>
      <c r="H158" s="5" t="s">
        <v>473</v>
      </c>
      <c r="I158" s="13" t="n">
        <v>3</v>
      </c>
      <c r="J158" s="5" t="s">
        <v>469</v>
      </c>
      <c r="K158" s="5" t="s">
        <v>1205</v>
      </c>
      <c r="L158" s="5" t="s">
        <v>372</v>
      </c>
    </row>
    <row r="159" customFormat="false" ht="15" hidden="false" customHeight="false" outlineLevel="0" collapsed="false">
      <c r="A159" s="5" t="s">
        <v>1204</v>
      </c>
      <c r="B159" s="5" t="s">
        <v>984</v>
      </c>
      <c r="C159" s="10" t="n">
        <v>46254</v>
      </c>
      <c r="D159" s="5" t="s">
        <v>815</v>
      </c>
      <c r="E159" s="5" t="s">
        <v>370</v>
      </c>
      <c r="F159" s="5" t="s">
        <v>111</v>
      </c>
      <c r="G159" s="5" t="s">
        <v>512</v>
      </c>
      <c r="H159" s="5" t="s">
        <v>513</v>
      </c>
      <c r="I159" s="13" t="n">
        <v>1</v>
      </c>
      <c r="J159" s="5" t="s">
        <v>469</v>
      </c>
      <c r="K159" s="5" t="s">
        <v>1206</v>
      </c>
      <c r="L159" s="5" t="s">
        <v>372</v>
      </c>
    </row>
    <row r="160" customFormat="false" ht="15" hidden="false" customHeight="false" outlineLevel="0" collapsed="false">
      <c r="A160" s="5" t="s">
        <v>1207</v>
      </c>
      <c r="B160" s="5" t="s">
        <v>984</v>
      </c>
      <c r="C160" s="10" t="n">
        <v>46257</v>
      </c>
      <c r="D160" s="5" t="s">
        <v>815</v>
      </c>
      <c r="E160" s="5" t="s">
        <v>373</v>
      </c>
      <c r="F160" s="5" t="s">
        <v>97</v>
      </c>
      <c r="G160" s="5" t="s">
        <v>496</v>
      </c>
      <c r="H160" s="5" t="s">
        <v>497</v>
      </c>
      <c r="I160" s="13" t="n">
        <v>4</v>
      </c>
      <c r="J160" s="5" t="s">
        <v>469</v>
      </c>
      <c r="K160" s="5" t="s">
        <v>1208</v>
      </c>
      <c r="L160" s="5" t="s">
        <v>375</v>
      </c>
    </row>
    <row r="161" customFormat="false" ht="15" hidden="false" customHeight="false" outlineLevel="0" collapsed="false">
      <c r="A161" s="5" t="s">
        <v>1209</v>
      </c>
      <c r="B161" s="5" t="s">
        <v>984</v>
      </c>
      <c r="C161" s="10" t="n">
        <v>46260</v>
      </c>
      <c r="D161" s="5" t="s">
        <v>815</v>
      </c>
      <c r="E161" s="5" t="s">
        <v>385</v>
      </c>
      <c r="F161" s="5" t="s">
        <v>38</v>
      </c>
      <c r="G161" s="5" t="s">
        <v>503</v>
      </c>
      <c r="H161" s="5" t="s">
        <v>504</v>
      </c>
      <c r="I161" s="13" t="n">
        <v>1</v>
      </c>
      <c r="J161" s="5" t="s">
        <v>469</v>
      </c>
      <c r="K161" s="5" t="s">
        <v>1210</v>
      </c>
      <c r="L161" s="5" t="s">
        <v>387</v>
      </c>
    </row>
    <row r="162" customFormat="false" ht="15" hidden="false" customHeight="false" outlineLevel="0" collapsed="false">
      <c r="A162" s="5" t="s">
        <v>1211</v>
      </c>
      <c r="B162" s="5" t="s">
        <v>984</v>
      </c>
      <c r="C162" s="10" t="n">
        <v>46264</v>
      </c>
      <c r="D162" s="5" t="s">
        <v>815</v>
      </c>
      <c r="E162" s="5" t="s">
        <v>388</v>
      </c>
      <c r="F162" s="5" t="s">
        <v>90</v>
      </c>
      <c r="G162" s="5" t="s">
        <v>467</v>
      </c>
      <c r="H162" s="5" t="s">
        <v>468</v>
      </c>
      <c r="I162" s="13" t="n">
        <v>3</v>
      </c>
      <c r="J162" s="5" t="s">
        <v>469</v>
      </c>
      <c r="K162" s="5" t="s">
        <v>1212</v>
      </c>
      <c r="L162" s="5" t="s">
        <v>390</v>
      </c>
    </row>
    <row r="163" customFormat="false" ht="15" hidden="false" customHeight="false" outlineLevel="0" collapsed="false">
      <c r="A163" s="5" t="s">
        <v>1213</v>
      </c>
      <c r="B163" s="5" t="s">
        <v>984</v>
      </c>
      <c r="C163" s="10" t="n">
        <v>46265</v>
      </c>
      <c r="D163" s="5" t="s">
        <v>815</v>
      </c>
      <c r="E163" s="5" t="s">
        <v>391</v>
      </c>
      <c r="F163" s="5" t="s">
        <v>62</v>
      </c>
      <c r="G163" s="5" t="s">
        <v>467</v>
      </c>
      <c r="H163" s="5" t="s">
        <v>468</v>
      </c>
      <c r="I163" s="13" t="n">
        <v>2</v>
      </c>
      <c r="J163" s="5" t="s">
        <v>469</v>
      </c>
      <c r="K163" s="5" t="s">
        <v>1214</v>
      </c>
      <c r="L163" s="5" t="s">
        <v>393</v>
      </c>
    </row>
    <row r="164" customFormat="false" ht="15" hidden="false" customHeight="false" outlineLevel="0" collapsed="false">
      <c r="A164" s="5" t="s">
        <v>1213</v>
      </c>
      <c r="B164" s="5" t="s">
        <v>984</v>
      </c>
      <c r="C164" s="10" t="n">
        <v>46265</v>
      </c>
      <c r="D164" s="5" t="s">
        <v>815</v>
      </c>
      <c r="E164" s="5" t="s">
        <v>391</v>
      </c>
      <c r="F164" s="5" t="s">
        <v>62</v>
      </c>
      <c r="G164" s="5" t="s">
        <v>508</v>
      </c>
      <c r="H164" s="5" t="s">
        <v>509</v>
      </c>
      <c r="I164" s="13" t="n">
        <v>2</v>
      </c>
      <c r="J164" s="5" t="s">
        <v>469</v>
      </c>
      <c r="K164" s="5" t="s">
        <v>1215</v>
      </c>
      <c r="L164" s="5" t="s">
        <v>393</v>
      </c>
    </row>
    <row r="165" customFormat="false" ht="15" hidden="false" customHeight="false" outlineLevel="0" collapsed="false">
      <c r="A165" s="5" t="s">
        <v>1213</v>
      </c>
      <c r="B165" s="5" t="s">
        <v>984</v>
      </c>
      <c r="C165" s="10" t="n">
        <v>46265</v>
      </c>
      <c r="D165" s="5" t="s">
        <v>815</v>
      </c>
      <c r="E165" s="5" t="s">
        <v>391</v>
      </c>
      <c r="F165" s="5" t="s">
        <v>62</v>
      </c>
      <c r="G165" s="5" t="s">
        <v>512</v>
      </c>
      <c r="H165" s="5" t="s">
        <v>513</v>
      </c>
      <c r="I165" s="13" t="n">
        <v>1</v>
      </c>
      <c r="J165" s="5" t="s">
        <v>469</v>
      </c>
      <c r="K165" s="5" t="s">
        <v>1216</v>
      </c>
      <c r="L165" s="5" t="s">
        <v>393</v>
      </c>
    </row>
    <row r="166" customFormat="false" ht="15" hidden="false" customHeight="false" outlineLevel="0" collapsed="false">
      <c r="A166" s="5" t="s">
        <v>1217</v>
      </c>
      <c r="B166" s="5" t="s">
        <v>984</v>
      </c>
      <c r="C166" s="10" t="n">
        <v>46267</v>
      </c>
      <c r="D166" s="5" t="s">
        <v>815</v>
      </c>
      <c r="E166" s="5" t="s">
        <v>394</v>
      </c>
      <c r="F166" s="5" t="s">
        <v>47</v>
      </c>
      <c r="G166" s="5" t="s">
        <v>467</v>
      </c>
      <c r="H166" s="5" t="s">
        <v>468</v>
      </c>
      <c r="I166" s="13" t="n">
        <v>2</v>
      </c>
      <c r="J166" s="5" t="s">
        <v>469</v>
      </c>
      <c r="K166" s="5" t="s">
        <v>1218</v>
      </c>
      <c r="L166" s="5" t="s">
        <v>396</v>
      </c>
    </row>
    <row r="167" customFormat="false" ht="15" hidden="false" customHeight="false" outlineLevel="0" collapsed="false">
      <c r="A167" s="5" t="s">
        <v>1217</v>
      </c>
      <c r="B167" s="5" t="s">
        <v>984</v>
      </c>
      <c r="C167" s="10" t="n">
        <v>46267</v>
      </c>
      <c r="D167" s="5" t="s">
        <v>815</v>
      </c>
      <c r="E167" s="5" t="s">
        <v>394</v>
      </c>
      <c r="F167" s="5" t="s">
        <v>47</v>
      </c>
      <c r="G167" s="5" t="s">
        <v>514</v>
      </c>
      <c r="H167" s="5" t="s">
        <v>515</v>
      </c>
      <c r="I167" s="13" t="n">
        <v>1</v>
      </c>
      <c r="J167" s="5" t="s">
        <v>469</v>
      </c>
      <c r="K167" s="5" t="s">
        <v>1219</v>
      </c>
      <c r="L167" s="5" t="s">
        <v>396</v>
      </c>
    </row>
    <row r="168" customFormat="false" ht="15" hidden="false" customHeight="false" outlineLevel="0" collapsed="false">
      <c r="A168" s="5" t="s">
        <v>1220</v>
      </c>
      <c r="B168" s="5" t="s">
        <v>984</v>
      </c>
      <c r="C168" s="10" t="n">
        <v>46279</v>
      </c>
      <c r="D168" s="5" t="s">
        <v>815</v>
      </c>
      <c r="E168" s="5" t="s">
        <v>400</v>
      </c>
      <c r="F168" s="5" t="s">
        <v>47</v>
      </c>
      <c r="G168" s="5" t="s">
        <v>472</v>
      </c>
      <c r="H168" s="5" t="s">
        <v>473</v>
      </c>
      <c r="I168" s="13" t="n">
        <v>3</v>
      </c>
      <c r="J168" s="5" t="s">
        <v>469</v>
      </c>
      <c r="K168" s="5" t="s">
        <v>1221</v>
      </c>
      <c r="L168" s="5" t="s">
        <v>403</v>
      </c>
    </row>
    <row r="169" customFormat="false" ht="15" hidden="false" customHeight="false" outlineLevel="0" collapsed="false">
      <c r="A169" s="5" t="s">
        <v>1222</v>
      </c>
      <c r="B169" s="5" t="s">
        <v>984</v>
      </c>
      <c r="C169" s="10" t="n">
        <v>46280</v>
      </c>
      <c r="D169" s="5" t="s">
        <v>815</v>
      </c>
      <c r="E169" s="5" t="s">
        <v>410</v>
      </c>
      <c r="F169" s="5" t="s">
        <v>38</v>
      </c>
      <c r="G169" s="5" t="s">
        <v>496</v>
      </c>
      <c r="H169" s="5" t="s">
        <v>497</v>
      </c>
      <c r="I169" s="13" t="n">
        <v>2</v>
      </c>
      <c r="J169" s="5" t="s">
        <v>469</v>
      </c>
      <c r="K169" s="5" t="s">
        <v>1223</v>
      </c>
      <c r="L169" s="5" t="s">
        <v>412</v>
      </c>
    </row>
    <row r="170" customFormat="false" ht="15" hidden="false" customHeight="false" outlineLevel="0" collapsed="false">
      <c r="A170" s="5" t="s">
        <v>1224</v>
      </c>
      <c r="B170" s="5" t="s">
        <v>984</v>
      </c>
      <c r="C170" s="10" t="n">
        <v>46285</v>
      </c>
      <c r="D170" s="5" t="s">
        <v>815</v>
      </c>
      <c r="E170" s="5" t="s">
        <v>419</v>
      </c>
      <c r="F170" s="5" t="s">
        <v>90</v>
      </c>
      <c r="G170" s="5" t="s">
        <v>467</v>
      </c>
      <c r="H170" s="5" t="s">
        <v>468</v>
      </c>
      <c r="I170" s="13" t="n">
        <v>2</v>
      </c>
      <c r="J170" s="5" t="s">
        <v>469</v>
      </c>
      <c r="K170" s="5" t="s">
        <v>1225</v>
      </c>
      <c r="L170" s="5" t="s">
        <v>422</v>
      </c>
    </row>
    <row r="171" customFormat="false" ht="15" hidden="false" customHeight="false" outlineLevel="0" collapsed="false">
      <c r="A171" s="5" t="s">
        <v>1226</v>
      </c>
      <c r="B171" s="5" t="s">
        <v>984</v>
      </c>
      <c r="C171" s="10" t="n">
        <v>46286</v>
      </c>
      <c r="D171" s="5" t="s">
        <v>815</v>
      </c>
      <c r="E171" s="5" t="s">
        <v>423</v>
      </c>
      <c r="F171" s="5" t="s">
        <v>104</v>
      </c>
      <c r="G171" s="5" t="s">
        <v>467</v>
      </c>
      <c r="H171" s="5" t="s">
        <v>468</v>
      </c>
      <c r="I171" s="13" t="n">
        <v>2</v>
      </c>
      <c r="J171" s="5" t="s">
        <v>469</v>
      </c>
      <c r="K171" s="5" t="s">
        <v>1227</v>
      </c>
      <c r="L171" s="5" t="s">
        <v>425</v>
      </c>
    </row>
    <row r="172" customFormat="false" ht="15" hidden="false" customHeight="false" outlineLevel="0" collapsed="false">
      <c r="A172" s="5" t="s">
        <v>1228</v>
      </c>
      <c r="B172" s="5" t="s">
        <v>984</v>
      </c>
      <c r="C172" s="10" t="n">
        <v>46286</v>
      </c>
      <c r="D172" s="5" t="s">
        <v>815</v>
      </c>
      <c r="E172" s="5" t="s">
        <v>426</v>
      </c>
      <c r="F172" s="5" t="s">
        <v>111</v>
      </c>
      <c r="G172" s="5" t="s">
        <v>472</v>
      </c>
      <c r="H172" s="5" t="s">
        <v>473</v>
      </c>
      <c r="I172" s="13" t="n">
        <v>2</v>
      </c>
      <c r="J172" s="5" t="s">
        <v>469</v>
      </c>
      <c r="K172" s="5" t="s">
        <v>1229</v>
      </c>
      <c r="L172" s="5" t="s">
        <v>428</v>
      </c>
    </row>
    <row r="173" customFormat="false" ht="15" hidden="false" customHeight="false" outlineLevel="0" collapsed="false">
      <c r="A173" s="5" t="s">
        <v>1230</v>
      </c>
      <c r="B173" s="5" t="s">
        <v>984</v>
      </c>
      <c r="C173" s="10" t="n">
        <v>46295</v>
      </c>
      <c r="D173" s="5" t="s">
        <v>815</v>
      </c>
      <c r="E173" s="5" t="s">
        <v>435</v>
      </c>
      <c r="F173" s="5" t="s">
        <v>97</v>
      </c>
      <c r="G173" s="5" t="s">
        <v>476</v>
      </c>
      <c r="H173" s="5" t="s">
        <v>477</v>
      </c>
      <c r="I173" s="13" t="n">
        <v>2</v>
      </c>
      <c r="J173" s="5" t="s">
        <v>469</v>
      </c>
      <c r="K173" s="5" t="s">
        <v>1231</v>
      </c>
      <c r="L173" s="5" t="s">
        <v>1143</v>
      </c>
    </row>
    <row r="174" customFormat="false" ht="15" hidden="false" customHeight="false" outlineLevel="0" collapsed="false">
      <c r="A174" s="5" t="s">
        <v>1232</v>
      </c>
      <c r="B174" s="5" t="s">
        <v>984</v>
      </c>
      <c r="C174" s="10" t="n">
        <v>46154</v>
      </c>
      <c r="D174" s="5" t="s">
        <v>862</v>
      </c>
      <c r="E174" s="5" t="s">
        <v>193</v>
      </c>
      <c r="F174" s="5" t="s">
        <v>55</v>
      </c>
      <c r="G174" s="5" t="s">
        <v>470</v>
      </c>
      <c r="H174" s="5" t="s">
        <v>471</v>
      </c>
      <c r="I174" s="13" t="n">
        <v>3</v>
      </c>
      <c r="J174" s="5" t="s">
        <v>469</v>
      </c>
      <c r="K174" s="5" t="s">
        <v>1233</v>
      </c>
      <c r="L174" s="5" t="s">
        <v>195</v>
      </c>
    </row>
    <row r="175" customFormat="false" ht="15" hidden="false" customHeight="false" outlineLevel="0" collapsed="false">
      <c r="A175" s="5" t="s">
        <v>1234</v>
      </c>
      <c r="B175" s="5" t="s">
        <v>984</v>
      </c>
      <c r="C175" s="10" t="n">
        <v>46155</v>
      </c>
      <c r="D175" s="5" t="s">
        <v>862</v>
      </c>
      <c r="E175" s="5" t="s">
        <v>199</v>
      </c>
      <c r="F175" s="5" t="s">
        <v>47</v>
      </c>
      <c r="G175" s="5" t="s">
        <v>478</v>
      </c>
      <c r="H175" s="5" t="s">
        <v>479</v>
      </c>
      <c r="I175" s="13" t="n">
        <v>1</v>
      </c>
      <c r="J175" s="5" t="s">
        <v>469</v>
      </c>
      <c r="K175" s="5" t="s">
        <v>1235</v>
      </c>
      <c r="L175" s="5" t="s">
        <v>201</v>
      </c>
    </row>
    <row r="176" customFormat="false" ht="15" hidden="false" customHeight="false" outlineLevel="0" collapsed="false">
      <c r="A176" s="5" t="s">
        <v>203</v>
      </c>
      <c r="B176" s="5" t="s">
        <v>984</v>
      </c>
      <c r="C176" s="10" t="n">
        <v>46156</v>
      </c>
      <c r="D176" s="5" t="s">
        <v>862</v>
      </c>
      <c r="E176" s="5" t="s">
        <v>202</v>
      </c>
      <c r="F176" s="5" t="s">
        <v>126</v>
      </c>
      <c r="G176" s="5" t="s">
        <v>482</v>
      </c>
      <c r="H176" s="5" t="s">
        <v>483</v>
      </c>
      <c r="I176" s="13" t="n">
        <v>2</v>
      </c>
      <c r="J176" s="5" t="s">
        <v>469</v>
      </c>
      <c r="K176" s="5" t="s">
        <v>1236</v>
      </c>
      <c r="L176" s="5" t="s">
        <v>204</v>
      </c>
    </row>
    <row r="177" customFormat="false" ht="15" hidden="false" customHeight="false" outlineLevel="0" collapsed="false">
      <c r="A177" s="5" t="s">
        <v>1237</v>
      </c>
      <c r="B177" s="5" t="s">
        <v>984</v>
      </c>
      <c r="C177" s="10" t="n">
        <v>46161</v>
      </c>
      <c r="D177" s="5" t="s">
        <v>862</v>
      </c>
      <c r="E177" s="5" t="s">
        <v>211</v>
      </c>
      <c r="F177" s="5" t="s">
        <v>104</v>
      </c>
      <c r="G177" s="5" t="s">
        <v>478</v>
      </c>
      <c r="H177" s="5" t="s">
        <v>479</v>
      </c>
      <c r="I177" s="13" t="n">
        <v>2</v>
      </c>
      <c r="J177" s="5" t="s">
        <v>469</v>
      </c>
      <c r="K177" s="5" t="s">
        <v>1238</v>
      </c>
      <c r="L177" s="5" t="s">
        <v>213</v>
      </c>
    </row>
    <row r="178" customFormat="false" ht="15" hidden="false" customHeight="false" outlineLevel="0" collapsed="false">
      <c r="A178" s="5" t="s">
        <v>1239</v>
      </c>
      <c r="B178" s="5" t="s">
        <v>984</v>
      </c>
      <c r="C178" s="10" t="n">
        <v>46166</v>
      </c>
      <c r="D178" s="5" t="s">
        <v>862</v>
      </c>
      <c r="E178" s="5" t="s">
        <v>208</v>
      </c>
      <c r="F178" s="5" t="s">
        <v>97</v>
      </c>
      <c r="G178" s="5" t="s">
        <v>482</v>
      </c>
      <c r="H178" s="5" t="s">
        <v>483</v>
      </c>
      <c r="I178" s="13" t="n">
        <v>7</v>
      </c>
      <c r="J178" s="5" t="s">
        <v>469</v>
      </c>
      <c r="K178" s="5" t="s">
        <v>1240</v>
      </c>
      <c r="L178" s="5" t="s">
        <v>210</v>
      </c>
    </row>
    <row r="179" customFormat="false" ht="15" hidden="false" customHeight="false" outlineLevel="0" collapsed="false">
      <c r="A179" s="5" t="s">
        <v>1241</v>
      </c>
      <c r="B179" s="5" t="s">
        <v>984</v>
      </c>
      <c r="C179" s="10" t="n">
        <v>46169</v>
      </c>
      <c r="D179" s="5" t="s">
        <v>862</v>
      </c>
      <c r="E179" s="5" t="s">
        <v>223</v>
      </c>
      <c r="F179" s="5" t="s">
        <v>118</v>
      </c>
      <c r="G179" s="5" t="s">
        <v>494</v>
      </c>
      <c r="H179" s="5" t="s">
        <v>495</v>
      </c>
      <c r="I179" s="13" t="n">
        <v>7</v>
      </c>
      <c r="J179" s="5" t="s">
        <v>466</v>
      </c>
      <c r="K179" s="5" t="s">
        <v>1242</v>
      </c>
      <c r="L179" s="5" t="s">
        <v>225</v>
      </c>
    </row>
    <row r="180" customFormat="false" ht="15" hidden="false" customHeight="false" outlineLevel="0" collapsed="false">
      <c r="A180" s="5" t="s">
        <v>1243</v>
      </c>
      <c r="B180" s="5" t="s">
        <v>984</v>
      </c>
      <c r="C180" s="10" t="n">
        <v>46175</v>
      </c>
      <c r="D180" s="5" t="s">
        <v>862</v>
      </c>
      <c r="E180" s="5" t="s">
        <v>232</v>
      </c>
      <c r="F180" s="5" t="s">
        <v>111</v>
      </c>
      <c r="G180" s="5" t="s">
        <v>482</v>
      </c>
      <c r="H180" s="5" t="s">
        <v>483</v>
      </c>
      <c r="I180" s="13" t="n">
        <v>4</v>
      </c>
      <c r="J180" s="5" t="s">
        <v>469</v>
      </c>
      <c r="K180" s="5" t="s">
        <v>1244</v>
      </c>
      <c r="L180" s="5" t="s">
        <v>234</v>
      </c>
    </row>
    <row r="181" customFormat="false" ht="15" hidden="false" customHeight="false" outlineLevel="0" collapsed="false">
      <c r="A181" s="5" t="s">
        <v>1245</v>
      </c>
      <c r="B181" s="5" t="s">
        <v>984</v>
      </c>
      <c r="C181" s="10" t="n">
        <v>46197</v>
      </c>
      <c r="D181" s="5" t="s">
        <v>862</v>
      </c>
      <c r="E181" s="5" t="s">
        <v>272</v>
      </c>
      <c r="F181" s="5" t="s">
        <v>69</v>
      </c>
      <c r="G181" s="5" t="s">
        <v>482</v>
      </c>
      <c r="H181" s="5" t="s">
        <v>483</v>
      </c>
      <c r="I181" s="13" t="n">
        <v>3</v>
      </c>
      <c r="J181" s="5" t="s">
        <v>469</v>
      </c>
      <c r="K181" s="5" t="s">
        <v>1246</v>
      </c>
      <c r="L181" s="5" t="s">
        <v>274</v>
      </c>
    </row>
    <row r="182" customFormat="false" ht="15" hidden="false" customHeight="false" outlineLevel="0" collapsed="false">
      <c r="A182" s="5" t="s">
        <v>1247</v>
      </c>
      <c r="B182" s="5" t="s">
        <v>984</v>
      </c>
      <c r="C182" s="10" t="n">
        <v>46208</v>
      </c>
      <c r="D182" s="5" t="s">
        <v>862</v>
      </c>
      <c r="E182" s="5" t="s">
        <v>284</v>
      </c>
      <c r="F182" s="5" t="s">
        <v>97</v>
      </c>
      <c r="G182" s="5" t="s">
        <v>494</v>
      </c>
      <c r="H182" s="5" t="s">
        <v>495</v>
      </c>
      <c r="I182" s="13" t="n">
        <v>13</v>
      </c>
      <c r="J182" s="5" t="s">
        <v>466</v>
      </c>
      <c r="K182" s="5" t="s">
        <v>1248</v>
      </c>
      <c r="L182" s="5" t="s">
        <v>286</v>
      </c>
    </row>
    <row r="183" customFormat="false" ht="15" hidden="false" customHeight="false" outlineLevel="0" collapsed="false">
      <c r="A183" s="5" t="s">
        <v>1249</v>
      </c>
      <c r="B183" s="5" t="s">
        <v>984</v>
      </c>
      <c r="C183" s="10" t="n">
        <v>46215</v>
      </c>
      <c r="D183" s="5" t="s">
        <v>862</v>
      </c>
      <c r="E183" s="5" t="s">
        <v>294</v>
      </c>
      <c r="F183" s="5" t="s">
        <v>55</v>
      </c>
      <c r="G183" s="5" t="s">
        <v>470</v>
      </c>
      <c r="H183" s="5" t="s">
        <v>471</v>
      </c>
      <c r="I183" s="13" t="n">
        <v>4</v>
      </c>
      <c r="J183" s="5" t="s">
        <v>469</v>
      </c>
      <c r="K183" s="5" t="s">
        <v>1250</v>
      </c>
      <c r="L183" s="5" t="s">
        <v>296</v>
      </c>
    </row>
    <row r="184" customFormat="false" ht="15" hidden="false" customHeight="false" outlineLevel="0" collapsed="false">
      <c r="A184" s="5" t="s">
        <v>1251</v>
      </c>
      <c r="B184" s="5" t="s">
        <v>984</v>
      </c>
      <c r="C184" s="10" t="n">
        <v>46215</v>
      </c>
      <c r="D184" s="5" t="s">
        <v>862</v>
      </c>
      <c r="E184" s="5" t="s">
        <v>297</v>
      </c>
      <c r="F184" s="5" t="s">
        <v>126</v>
      </c>
      <c r="G184" s="5" t="s">
        <v>482</v>
      </c>
      <c r="H184" s="5" t="s">
        <v>483</v>
      </c>
      <c r="I184" s="13" t="n">
        <v>1</v>
      </c>
      <c r="J184" s="5" t="s">
        <v>469</v>
      </c>
      <c r="K184" s="5" t="s">
        <v>1252</v>
      </c>
      <c r="L184" s="5" t="s">
        <v>299</v>
      </c>
    </row>
    <row r="185" customFormat="false" ht="15" hidden="false" customHeight="false" outlineLevel="0" collapsed="false">
      <c r="A185" s="5" t="s">
        <v>1253</v>
      </c>
      <c r="B185" s="5" t="s">
        <v>984</v>
      </c>
      <c r="C185" s="10" t="n">
        <v>46216</v>
      </c>
      <c r="D185" s="5" t="s">
        <v>862</v>
      </c>
      <c r="E185" s="5" t="s">
        <v>303</v>
      </c>
      <c r="F185" s="5" t="s">
        <v>69</v>
      </c>
      <c r="G185" s="5" t="s">
        <v>470</v>
      </c>
      <c r="H185" s="5" t="s">
        <v>471</v>
      </c>
      <c r="I185" s="13" t="n">
        <v>3</v>
      </c>
      <c r="J185" s="5" t="s">
        <v>469</v>
      </c>
      <c r="K185" s="5" t="s">
        <v>1233</v>
      </c>
      <c r="L185" s="5" t="s">
        <v>305</v>
      </c>
    </row>
    <row r="186" customFormat="false" ht="15" hidden="false" customHeight="false" outlineLevel="0" collapsed="false">
      <c r="A186" s="5" t="s">
        <v>1254</v>
      </c>
      <c r="B186" s="5" t="s">
        <v>984</v>
      </c>
      <c r="C186" s="10" t="n">
        <v>46222</v>
      </c>
      <c r="D186" s="5" t="s">
        <v>862</v>
      </c>
      <c r="E186" s="5" t="s">
        <v>321</v>
      </c>
      <c r="F186" s="5" t="s">
        <v>76</v>
      </c>
      <c r="G186" s="5" t="s">
        <v>494</v>
      </c>
      <c r="H186" s="5" t="s">
        <v>495</v>
      </c>
      <c r="I186" s="13" t="n">
        <v>7</v>
      </c>
      <c r="J186" s="5" t="s">
        <v>466</v>
      </c>
      <c r="K186" s="5" t="s">
        <v>1242</v>
      </c>
      <c r="L186" s="5" t="s">
        <v>323</v>
      </c>
    </row>
    <row r="187" customFormat="false" ht="15" hidden="false" customHeight="false" outlineLevel="0" collapsed="false">
      <c r="A187" s="5" t="s">
        <v>1255</v>
      </c>
      <c r="B187" s="5" t="s">
        <v>984</v>
      </c>
      <c r="C187" s="10" t="n">
        <v>46229</v>
      </c>
      <c r="D187" s="5" t="s">
        <v>862</v>
      </c>
      <c r="E187" s="5" t="s">
        <v>330</v>
      </c>
      <c r="F187" s="5" t="s">
        <v>83</v>
      </c>
      <c r="G187" s="5" t="s">
        <v>494</v>
      </c>
      <c r="H187" s="5" t="s">
        <v>495</v>
      </c>
      <c r="I187" s="13" t="n">
        <v>17</v>
      </c>
      <c r="J187" s="5" t="s">
        <v>466</v>
      </c>
      <c r="K187" s="5" t="s">
        <v>1256</v>
      </c>
      <c r="L187" s="5" t="s">
        <v>332</v>
      </c>
    </row>
    <row r="188" customFormat="false" ht="15" hidden="false" customHeight="false" outlineLevel="0" collapsed="false">
      <c r="A188" s="5" t="s">
        <v>1257</v>
      </c>
      <c r="B188" s="5" t="s">
        <v>984</v>
      </c>
      <c r="C188" s="10" t="n">
        <v>46254</v>
      </c>
      <c r="D188" s="5" t="s">
        <v>862</v>
      </c>
      <c r="E188" s="5" t="s">
        <v>370</v>
      </c>
      <c r="F188" s="5" t="s">
        <v>111</v>
      </c>
      <c r="G188" s="5" t="s">
        <v>482</v>
      </c>
      <c r="H188" s="5" t="s">
        <v>483</v>
      </c>
      <c r="I188" s="13" t="n">
        <v>5</v>
      </c>
      <c r="J188" s="5" t="s">
        <v>469</v>
      </c>
      <c r="K188" s="5" t="s">
        <v>1258</v>
      </c>
      <c r="L188" s="5" t="s">
        <v>372</v>
      </c>
    </row>
    <row r="189" customFormat="false" ht="15" hidden="false" customHeight="false" outlineLevel="0" collapsed="false">
      <c r="A189" s="5" t="s">
        <v>1259</v>
      </c>
      <c r="B189" s="5" t="s">
        <v>984</v>
      </c>
      <c r="C189" s="10" t="n">
        <v>46254</v>
      </c>
      <c r="D189" s="5" t="s">
        <v>862</v>
      </c>
      <c r="E189" s="5" t="s">
        <v>376</v>
      </c>
      <c r="F189" s="5" t="s">
        <v>126</v>
      </c>
      <c r="G189" s="5" t="s">
        <v>482</v>
      </c>
      <c r="H189" s="5" t="s">
        <v>483</v>
      </c>
      <c r="I189" s="13" t="n">
        <v>2</v>
      </c>
      <c r="J189" s="5" t="s">
        <v>469</v>
      </c>
      <c r="K189" s="5" t="s">
        <v>1236</v>
      </c>
      <c r="L189" s="5" t="s">
        <v>378</v>
      </c>
    </row>
    <row r="190" customFormat="false" ht="15" hidden="false" customHeight="false" outlineLevel="0" collapsed="false">
      <c r="A190" s="5" t="s">
        <v>1260</v>
      </c>
      <c r="B190" s="5" t="s">
        <v>984</v>
      </c>
      <c r="C190" s="10" t="n">
        <v>46257</v>
      </c>
      <c r="D190" s="5" t="s">
        <v>862</v>
      </c>
      <c r="E190" s="5" t="s">
        <v>373</v>
      </c>
      <c r="F190" s="5" t="s">
        <v>97</v>
      </c>
      <c r="G190" s="5" t="s">
        <v>494</v>
      </c>
      <c r="H190" s="5" t="s">
        <v>495</v>
      </c>
      <c r="I190" s="13" t="n">
        <v>20</v>
      </c>
      <c r="J190" s="5" t="s">
        <v>466</v>
      </c>
      <c r="K190" s="5" t="s">
        <v>1261</v>
      </c>
      <c r="L190" s="5" t="s">
        <v>375</v>
      </c>
    </row>
    <row r="191" customFormat="false" ht="15" hidden="false" customHeight="false" outlineLevel="0" collapsed="false">
      <c r="A191" s="5" t="s">
        <v>1262</v>
      </c>
      <c r="B191" s="5" t="s">
        <v>984</v>
      </c>
      <c r="C191" s="10" t="n">
        <v>46264</v>
      </c>
      <c r="D191" s="5" t="s">
        <v>862</v>
      </c>
      <c r="E191" s="5" t="s">
        <v>388</v>
      </c>
      <c r="F191" s="5" t="s">
        <v>90</v>
      </c>
      <c r="G191" s="5" t="s">
        <v>482</v>
      </c>
      <c r="H191" s="5" t="s">
        <v>483</v>
      </c>
      <c r="I191" s="13" t="n">
        <v>5</v>
      </c>
      <c r="J191" s="5" t="s">
        <v>469</v>
      </c>
      <c r="K191" s="5" t="s">
        <v>1258</v>
      </c>
      <c r="L191" s="5" t="s">
        <v>390</v>
      </c>
    </row>
    <row r="192" customFormat="false" ht="15" hidden="false" customHeight="false" outlineLevel="0" collapsed="false">
      <c r="A192" s="5" t="s">
        <v>1263</v>
      </c>
      <c r="B192" s="5" t="s">
        <v>984</v>
      </c>
      <c r="C192" s="10" t="n">
        <v>46266</v>
      </c>
      <c r="D192" s="5" t="s">
        <v>862</v>
      </c>
      <c r="E192" s="5" t="s">
        <v>397</v>
      </c>
      <c r="F192" s="5" t="s">
        <v>83</v>
      </c>
      <c r="G192" s="5" t="s">
        <v>482</v>
      </c>
      <c r="H192" s="5" t="s">
        <v>483</v>
      </c>
      <c r="I192" s="13" t="n">
        <v>7</v>
      </c>
      <c r="J192" s="5" t="s">
        <v>469</v>
      </c>
      <c r="K192" s="5" t="s">
        <v>1240</v>
      </c>
      <c r="L192" s="5" t="s">
        <v>399</v>
      </c>
    </row>
    <row r="193" customFormat="false" ht="15" hidden="false" customHeight="false" outlineLevel="0" collapsed="false">
      <c r="A193" s="5" t="s">
        <v>1264</v>
      </c>
      <c r="B193" s="5" t="s">
        <v>984</v>
      </c>
      <c r="C193" s="10" t="n">
        <v>46279</v>
      </c>
      <c r="D193" s="5" t="s">
        <v>862</v>
      </c>
      <c r="E193" s="5" t="s">
        <v>400</v>
      </c>
      <c r="F193" s="5" t="s">
        <v>47</v>
      </c>
      <c r="G193" s="5" t="s">
        <v>482</v>
      </c>
      <c r="H193" s="5" t="s">
        <v>483</v>
      </c>
      <c r="I193" s="13" t="n">
        <v>3</v>
      </c>
      <c r="J193" s="5" t="s">
        <v>469</v>
      </c>
      <c r="K193" s="5" t="s">
        <v>1246</v>
      </c>
      <c r="L193" s="5" t="s">
        <v>403</v>
      </c>
    </row>
    <row r="194" customFormat="false" ht="15" hidden="false" customHeight="false" outlineLevel="0" collapsed="false">
      <c r="A194" s="5" t="s">
        <v>1265</v>
      </c>
      <c r="B194" s="5" t="s">
        <v>984</v>
      </c>
      <c r="C194" s="10" t="n">
        <v>46288</v>
      </c>
      <c r="D194" s="5" t="s">
        <v>862</v>
      </c>
      <c r="E194" s="5" t="s">
        <v>432</v>
      </c>
      <c r="F194" s="5" t="s">
        <v>69</v>
      </c>
      <c r="G194" s="5" t="s">
        <v>482</v>
      </c>
      <c r="H194" s="5" t="s">
        <v>483</v>
      </c>
      <c r="I194" s="13" t="n">
        <v>6</v>
      </c>
      <c r="J194" s="5" t="s">
        <v>469</v>
      </c>
      <c r="K194" s="5" t="s">
        <v>1266</v>
      </c>
      <c r="L194" s="5" t="s">
        <v>434</v>
      </c>
    </row>
    <row r="195" customFormat="false" ht="15" hidden="false" customHeight="false" outlineLevel="0" collapsed="false">
      <c r="A195" s="5" t="s">
        <v>1267</v>
      </c>
      <c r="B195" s="5" t="s">
        <v>984</v>
      </c>
      <c r="C195" s="10" t="n">
        <v>46289</v>
      </c>
      <c r="D195" s="5" t="s">
        <v>862</v>
      </c>
      <c r="E195" s="5" t="s">
        <v>429</v>
      </c>
      <c r="F195" s="5" t="s">
        <v>118</v>
      </c>
      <c r="G195" s="5" t="s">
        <v>494</v>
      </c>
      <c r="H195" s="5" t="s">
        <v>495</v>
      </c>
      <c r="I195" s="13" t="n">
        <v>17</v>
      </c>
      <c r="J195" s="5" t="s">
        <v>466</v>
      </c>
      <c r="K195" s="5" t="s">
        <v>1268</v>
      </c>
      <c r="L195" s="5" t="s">
        <v>431</v>
      </c>
    </row>
    <row r="196" customFormat="false" ht="15" hidden="false" customHeight="false" outlineLevel="0" collapsed="false">
      <c r="A196" s="5" t="s">
        <v>1269</v>
      </c>
      <c r="B196" s="5" t="s">
        <v>984</v>
      </c>
      <c r="C196" s="10" t="n">
        <v>46292</v>
      </c>
      <c r="D196" s="5" t="s">
        <v>862</v>
      </c>
      <c r="E196" s="5" t="s">
        <v>438</v>
      </c>
      <c r="F196" s="5" t="s">
        <v>126</v>
      </c>
      <c r="G196" s="5" t="s">
        <v>482</v>
      </c>
      <c r="H196" s="5" t="s">
        <v>483</v>
      </c>
      <c r="I196" s="13" t="n">
        <v>1</v>
      </c>
      <c r="J196" s="5" t="s">
        <v>469</v>
      </c>
      <c r="K196" s="5" t="s">
        <v>1252</v>
      </c>
      <c r="L196" s="5" t="s">
        <v>440</v>
      </c>
    </row>
    <row r="197" customFormat="false" ht="15" hidden="false" customHeight="false" outlineLevel="0" collapsed="false">
      <c r="A197" s="5" t="s">
        <v>1270</v>
      </c>
      <c r="B197" s="5" t="s">
        <v>984</v>
      </c>
      <c r="C197" s="10" t="n">
        <v>46295</v>
      </c>
      <c r="D197" s="5" t="s">
        <v>862</v>
      </c>
      <c r="E197" s="5" t="s">
        <v>435</v>
      </c>
      <c r="F197" s="5" t="s">
        <v>97</v>
      </c>
      <c r="G197" s="5" t="s">
        <v>478</v>
      </c>
      <c r="H197" s="5" t="s">
        <v>479</v>
      </c>
      <c r="I197" s="13" t="n">
        <v>1</v>
      </c>
      <c r="J197" s="5" t="s">
        <v>469</v>
      </c>
      <c r="K197" s="5" t="s">
        <v>1235</v>
      </c>
      <c r="L197" s="5" t="s">
        <v>1143</v>
      </c>
    </row>
    <row r="198" customFormat="false" ht="15" hidden="false" customHeight="false" outlineLevel="0" collapsed="false">
      <c r="A198" s="5" t="s">
        <v>1271</v>
      </c>
      <c r="B198" s="5" t="s">
        <v>984</v>
      </c>
      <c r="C198" s="10" t="n">
        <v>46295</v>
      </c>
      <c r="D198" s="5" t="s">
        <v>862</v>
      </c>
      <c r="E198" s="5" t="s">
        <v>445</v>
      </c>
      <c r="F198" s="5" t="s">
        <v>83</v>
      </c>
      <c r="G198" s="5" t="s">
        <v>482</v>
      </c>
      <c r="H198" s="5" t="s">
        <v>483</v>
      </c>
      <c r="I198" s="13" t="n">
        <v>7</v>
      </c>
      <c r="J198" s="5" t="s">
        <v>469</v>
      </c>
      <c r="K198" s="5" t="s">
        <v>1240</v>
      </c>
      <c r="L198" s="5" t="s">
        <v>447</v>
      </c>
    </row>
    <row r="199" customFormat="false" ht="15" hidden="false" customHeight="false" outlineLevel="0" collapsed="false">
      <c r="A199" s="5" t="s">
        <v>828</v>
      </c>
      <c r="B199" s="5" t="s">
        <v>909</v>
      </c>
      <c r="C199" s="10" t="n">
        <v>46180</v>
      </c>
      <c r="D199" s="5" t="s">
        <v>827</v>
      </c>
      <c r="E199" s="5" t="s">
        <v>826</v>
      </c>
      <c r="F199" s="5" t="s">
        <v>153</v>
      </c>
      <c r="G199" s="5" t="s">
        <v>464</v>
      </c>
      <c r="H199" s="5" t="s">
        <v>465</v>
      </c>
      <c r="I199" s="13" t="n">
        <v>2706</v>
      </c>
      <c r="J199" s="5" t="s">
        <v>466</v>
      </c>
      <c r="K199" s="5" t="s">
        <v>1272</v>
      </c>
      <c r="L199" s="5" t="s">
        <v>829</v>
      </c>
    </row>
    <row r="200" customFormat="false" ht="15" hidden="false" customHeight="false" outlineLevel="0" collapsed="false">
      <c r="A200" s="5" t="s">
        <v>831</v>
      </c>
      <c r="B200" s="5" t="s">
        <v>909</v>
      </c>
      <c r="C200" s="10" t="n">
        <v>46182</v>
      </c>
      <c r="D200" s="5" t="s">
        <v>827</v>
      </c>
      <c r="E200" s="5" t="s">
        <v>830</v>
      </c>
      <c r="F200" s="5" t="s">
        <v>161</v>
      </c>
      <c r="G200" s="5" t="s">
        <v>484</v>
      </c>
      <c r="H200" s="5" t="s">
        <v>485</v>
      </c>
      <c r="I200" s="13" t="n">
        <v>427</v>
      </c>
      <c r="J200" s="5" t="s">
        <v>486</v>
      </c>
      <c r="K200" s="5" t="s">
        <v>1273</v>
      </c>
      <c r="L200" s="5" t="s">
        <v>832</v>
      </c>
    </row>
    <row r="201" customFormat="false" ht="15" hidden="false" customHeight="false" outlineLevel="0" collapsed="false">
      <c r="A201" s="5" t="s">
        <v>834</v>
      </c>
      <c r="B201" s="5" t="s">
        <v>909</v>
      </c>
      <c r="C201" s="10" t="n">
        <v>46189</v>
      </c>
      <c r="D201" s="5" t="s">
        <v>827</v>
      </c>
      <c r="E201" s="5" t="s">
        <v>833</v>
      </c>
      <c r="F201" s="5" t="s">
        <v>153</v>
      </c>
      <c r="G201" s="5" t="s">
        <v>492</v>
      </c>
      <c r="H201" s="5" t="s">
        <v>493</v>
      </c>
      <c r="I201" s="13" t="n">
        <v>939</v>
      </c>
      <c r="J201" s="5" t="s">
        <v>486</v>
      </c>
      <c r="K201" s="5" t="s">
        <v>1274</v>
      </c>
      <c r="L201" s="5" t="s">
        <v>835</v>
      </c>
    </row>
    <row r="202" customFormat="false" ht="15" hidden="false" customHeight="false" outlineLevel="0" collapsed="false">
      <c r="A202" s="5" t="s">
        <v>844</v>
      </c>
      <c r="B202" s="5" t="s">
        <v>909</v>
      </c>
      <c r="C202" s="10" t="n">
        <v>46197</v>
      </c>
      <c r="D202" s="5" t="s">
        <v>827</v>
      </c>
      <c r="E202" s="5" t="s">
        <v>843</v>
      </c>
      <c r="F202" s="5" t="s">
        <v>161</v>
      </c>
      <c r="G202" s="5" t="s">
        <v>480</v>
      </c>
      <c r="H202" s="5" t="s">
        <v>481</v>
      </c>
      <c r="I202" s="13" t="n">
        <v>1836</v>
      </c>
      <c r="J202" s="5" t="s">
        <v>466</v>
      </c>
      <c r="K202" s="5" t="s">
        <v>1275</v>
      </c>
      <c r="L202" s="5" t="s">
        <v>845</v>
      </c>
    </row>
    <row r="203" customFormat="false" ht="15" hidden="false" customHeight="false" outlineLevel="0" collapsed="false">
      <c r="A203" s="5" t="s">
        <v>850</v>
      </c>
      <c r="B203" s="5" t="s">
        <v>909</v>
      </c>
      <c r="C203" s="10" t="n">
        <v>46208</v>
      </c>
      <c r="D203" s="5" t="s">
        <v>827</v>
      </c>
      <c r="E203" s="5" t="s">
        <v>849</v>
      </c>
      <c r="F203" s="5" t="s">
        <v>153</v>
      </c>
      <c r="G203" s="5" t="s">
        <v>474</v>
      </c>
      <c r="H203" s="5" t="s">
        <v>475</v>
      </c>
      <c r="I203" s="13" t="n">
        <v>1307</v>
      </c>
      <c r="J203" s="5" t="s">
        <v>466</v>
      </c>
      <c r="K203" s="5" t="s">
        <v>1276</v>
      </c>
      <c r="L203" s="5" t="s">
        <v>851</v>
      </c>
    </row>
    <row r="204" customFormat="false" ht="15" hidden="false" customHeight="false" outlineLevel="0" collapsed="false">
      <c r="A204" s="5" t="s">
        <v>856</v>
      </c>
      <c r="B204" s="5" t="s">
        <v>909</v>
      </c>
      <c r="C204" s="10" t="n">
        <v>46223</v>
      </c>
      <c r="D204" s="5" t="s">
        <v>827</v>
      </c>
      <c r="E204" s="5" t="s">
        <v>855</v>
      </c>
      <c r="F204" s="5" t="s">
        <v>161</v>
      </c>
      <c r="G204" s="5" t="s">
        <v>501</v>
      </c>
      <c r="H204" s="5" t="s">
        <v>502</v>
      </c>
      <c r="I204" s="13" t="n">
        <v>644</v>
      </c>
      <c r="J204" s="5" t="s">
        <v>466</v>
      </c>
      <c r="K204" s="5" t="s">
        <v>1277</v>
      </c>
      <c r="L204" s="5" t="s">
        <v>857</v>
      </c>
    </row>
    <row r="205" customFormat="false" ht="15" hidden="false" customHeight="false" outlineLevel="0" collapsed="false">
      <c r="A205" s="5" t="s">
        <v>932</v>
      </c>
      <c r="B205" s="5" t="s">
        <v>909</v>
      </c>
      <c r="C205" s="10" t="n">
        <v>46237</v>
      </c>
      <c r="D205" s="5" t="s">
        <v>827</v>
      </c>
      <c r="E205" s="5" t="s">
        <v>865</v>
      </c>
      <c r="F205" s="5" t="s">
        <v>153</v>
      </c>
      <c r="G205" s="5" t="s">
        <v>474</v>
      </c>
      <c r="H205" s="5" t="s">
        <v>475</v>
      </c>
      <c r="I205" s="13" t="n">
        <v>763</v>
      </c>
      <c r="J205" s="5" t="s">
        <v>466</v>
      </c>
      <c r="K205" s="5" t="s">
        <v>1278</v>
      </c>
      <c r="L205" s="5" t="s">
        <v>931</v>
      </c>
    </row>
    <row r="206" customFormat="false" ht="15" hidden="false" customHeight="false" outlineLevel="0" collapsed="false">
      <c r="A206" s="5" t="s">
        <v>932</v>
      </c>
      <c r="B206" s="5" t="s">
        <v>909</v>
      </c>
      <c r="C206" s="10" t="n">
        <v>46237</v>
      </c>
      <c r="D206" s="5" t="s">
        <v>827</v>
      </c>
      <c r="E206" s="5" t="s">
        <v>865</v>
      </c>
      <c r="F206" s="5" t="s">
        <v>153</v>
      </c>
      <c r="G206" s="5" t="s">
        <v>490</v>
      </c>
      <c r="H206" s="5" t="s">
        <v>491</v>
      </c>
      <c r="I206" s="13" t="n">
        <v>440</v>
      </c>
      <c r="J206" s="5" t="s">
        <v>466</v>
      </c>
      <c r="K206" s="5" t="s">
        <v>1279</v>
      </c>
      <c r="L206" s="5" t="s">
        <v>931</v>
      </c>
    </row>
    <row r="207" customFormat="false" ht="15" hidden="false" customHeight="false" outlineLevel="0" collapsed="false">
      <c r="A207" s="5" t="s">
        <v>932</v>
      </c>
      <c r="B207" s="5" t="s">
        <v>909</v>
      </c>
      <c r="C207" s="10" t="n">
        <v>46237</v>
      </c>
      <c r="D207" s="5" t="s">
        <v>827</v>
      </c>
      <c r="E207" s="5" t="s">
        <v>865</v>
      </c>
      <c r="F207" s="5" t="s">
        <v>153</v>
      </c>
      <c r="G207" s="5" t="s">
        <v>492</v>
      </c>
      <c r="H207" s="5" t="s">
        <v>493</v>
      </c>
      <c r="I207" s="13" t="n">
        <v>553</v>
      </c>
      <c r="J207" s="5" t="s">
        <v>486</v>
      </c>
      <c r="K207" s="5" t="s">
        <v>1280</v>
      </c>
      <c r="L207" s="5" t="s">
        <v>931</v>
      </c>
    </row>
    <row r="208" customFormat="false" ht="15" hidden="false" customHeight="false" outlineLevel="0" collapsed="false">
      <c r="A208" s="5" t="s">
        <v>936</v>
      </c>
      <c r="B208" s="5" t="s">
        <v>909</v>
      </c>
      <c r="C208" s="10" t="n">
        <v>46244</v>
      </c>
      <c r="D208" s="5" t="s">
        <v>827</v>
      </c>
      <c r="E208" s="5" t="s">
        <v>865</v>
      </c>
      <c r="F208" s="5" t="s">
        <v>153</v>
      </c>
      <c r="G208" s="5" t="s">
        <v>474</v>
      </c>
      <c r="H208" s="5" t="s">
        <v>475</v>
      </c>
      <c r="I208" s="13" t="n">
        <v>509</v>
      </c>
      <c r="J208" s="5" t="s">
        <v>466</v>
      </c>
      <c r="K208" s="5" t="s">
        <v>1281</v>
      </c>
      <c r="L208" s="5" t="s">
        <v>935</v>
      </c>
    </row>
    <row r="209" customFormat="false" ht="15" hidden="false" customHeight="false" outlineLevel="0" collapsed="false">
      <c r="A209" s="5" t="s">
        <v>936</v>
      </c>
      <c r="B209" s="5" t="s">
        <v>909</v>
      </c>
      <c r="C209" s="10" t="n">
        <v>46244</v>
      </c>
      <c r="D209" s="5" t="s">
        <v>827</v>
      </c>
      <c r="E209" s="5" t="s">
        <v>865</v>
      </c>
      <c r="F209" s="5" t="s">
        <v>153</v>
      </c>
      <c r="G209" s="5" t="s">
        <v>490</v>
      </c>
      <c r="H209" s="5" t="s">
        <v>491</v>
      </c>
      <c r="I209" s="13" t="n">
        <v>294</v>
      </c>
      <c r="J209" s="5" t="s">
        <v>466</v>
      </c>
      <c r="K209" s="5" t="s">
        <v>1282</v>
      </c>
      <c r="L209" s="5" t="s">
        <v>935</v>
      </c>
    </row>
    <row r="210" customFormat="false" ht="15" hidden="false" customHeight="false" outlineLevel="0" collapsed="false">
      <c r="A210" s="5" t="s">
        <v>936</v>
      </c>
      <c r="B210" s="5" t="s">
        <v>909</v>
      </c>
      <c r="C210" s="10" t="n">
        <v>46244</v>
      </c>
      <c r="D210" s="5" t="s">
        <v>827</v>
      </c>
      <c r="E210" s="5" t="s">
        <v>865</v>
      </c>
      <c r="F210" s="5" t="s">
        <v>153</v>
      </c>
      <c r="G210" s="5" t="s">
        <v>492</v>
      </c>
      <c r="H210" s="5" t="s">
        <v>493</v>
      </c>
      <c r="I210" s="13" t="n">
        <v>368</v>
      </c>
      <c r="J210" s="5" t="s">
        <v>486</v>
      </c>
      <c r="K210" s="5" t="s">
        <v>1283</v>
      </c>
      <c r="L210" s="5" t="s">
        <v>935</v>
      </c>
    </row>
    <row r="211" customFormat="false" ht="15" hidden="false" customHeight="false" outlineLevel="0" collapsed="false">
      <c r="A211" s="5" t="s">
        <v>869</v>
      </c>
      <c r="B211" s="5" t="s">
        <v>909</v>
      </c>
      <c r="C211" s="10" t="n">
        <v>46254</v>
      </c>
      <c r="D211" s="5" t="s">
        <v>827</v>
      </c>
      <c r="E211" s="5" t="s">
        <v>868</v>
      </c>
      <c r="F211" s="5" t="s">
        <v>161</v>
      </c>
      <c r="G211" s="5" t="s">
        <v>498</v>
      </c>
      <c r="H211" s="5" t="s">
        <v>499</v>
      </c>
      <c r="I211" s="13" t="n">
        <v>296</v>
      </c>
      <c r="J211" s="5" t="s">
        <v>500</v>
      </c>
      <c r="K211" s="5" t="s">
        <v>1284</v>
      </c>
      <c r="L211" s="5" t="s">
        <v>870</v>
      </c>
    </row>
    <row r="212" customFormat="false" ht="15" hidden="false" customHeight="false" outlineLevel="0" collapsed="false">
      <c r="A212" s="5" t="s">
        <v>890</v>
      </c>
      <c r="B212" s="5" t="s">
        <v>909</v>
      </c>
      <c r="C212" s="10" t="n">
        <v>46280</v>
      </c>
      <c r="D212" s="5" t="s">
        <v>827</v>
      </c>
      <c r="E212" s="5" t="s">
        <v>889</v>
      </c>
      <c r="F212" s="5" t="s">
        <v>153</v>
      </c>
      <c r="G212" s="5" t="s">
        <v>464</v>
      </c>
      <c r="H212" s="5" t="s">
        <v>465</v>
      </c>
      <c r="I212" s="13" t="n">
        <v>2092</v>
      </c>
      <c r="J212" s="5" t="s">
        <v>466</v>
      </c>
      <c r="K212" s="5" t="s">
        <v>1285</v>
      </c>
      <c r="L212" s="5" t="s">
        <v>891</v>
      </c>
    </row>
    <row r="213" customFormat="false" ht="15" hidden="false" customHeight="false" outlineLevel="0" collapsed="false">
      <c r="A213" s="5" t="s">
        <v>893</v>
      </c>
      <c r="B213" s="5" t="s">
        <v>909</v>
      </c>
      <c r="C213" s="10" t="n">
        <v>46280</v>
      </c>
      <c r="D213" s="5" t="s">
        <v>827</v>
      </c>
      <c r="E213" s="5" t="s">
        <v>892</v>
      </c>
      <c r="F213" s="5" t="s">
        <v>161</v>
      </c>
      <c r="G213" s="5" t="s">
        <v>480</v>
      </c>
      <c r="H213" s="5" t="s">
        <v>481</v>
      </c>
      <c r="I213" s="13" t="n">
        <v>2140</v>
      </c>
      <c r="J213" s="5" t="s">
        <v>466</v>
      </c>
      <c r="K213" s="5" t="s">
        <v>1286</v>
      </c>
      <c r="L213" s="5" t="s">
        <v>894</v>
      </c>
    </row>
    <row r="214" customFormat="false" ht="15" hidden="false" customHeight="false" outlineLevel="0" collapsed="false">
      <c r="A214" s="5" t="s">
        <v>893</v>
      </c>
      <c r="B214" s="5" t="s">
        <v>909</v>
      </c>
      <c r="C214" s="10" t="n">
        <v>46280</v>
      </c>
      <c r="D214" s="5" t="s">
        <v>827</v>
      </c>
      <c r="E214" s="5" t="s">
        <v>892</v>
      </c>
      <c r="F214" s="5" t="s">
        <v>161</v>
      </c>
      <c r="G214" s="5" t="s">
        <v>484</v>
      </c>
      <c r="H214" s="5" t="s">
        <v>485</v>
      </c>
      <c r="I214" s="13" t="n">
        <v>420</v>
      </c>
      <c r="J214" s="5" t="s">
        <v>486</v>
      </c>
      <c r="K214" s="5" t="s">
        <v>1287</v>
      </c>
      <c r="L214" s="5" t="s">
        <v>894</v>
      </c>
    </row>
    <row r="215" customFormat="false" ht="15" hidden="false" customHeight="false" outlineLevel="0" collapsed="false">
      <c r="A215" s="5" t="s">
        <v>817</v>
      </c>
      <c r="B215" s="5" t="s">
        <v>909</v>
      </c>
      <c r="C215" s="10" t="n">
        <v>46181</v>
      </c>
      <c r="D215" s="5" t="s">
        <v>815</v>
      </c>
      <c r="E215" s="5" t="s">
        <v>814</v>
      </c>
      <c r="F215" s="5" t="s">
        <v>138</v>
      </c>
      <c r="G215" s="5" t="s">
        <v>472</v>
      </c>
      <c r="H215" s="5" t="s">
        <v>473</v>
      </c>
      <c r="I215" s="13" t="n">
        <v>9</v>
      </c>
      <c r="J215" s="5" t="s">
        <v>469</v>
      </c>
      <c r="K215" s="5" t="s">
        <v>1288</v>
      </c>
      <c r="L215" s="5" t="s">
        <v>818</v>
      </c>
    </row>
    <row r="216" customFormat="false" ht="15" hidden="false" customHeight="false" outlineLevel="0" collapsed="false">
      <c r="A216" s="5" t="s">
        <v>821</v>
      </c>
      <c r="B216" s="5" t="s">
        <v>909</v>
      </c>
      <c r="C216" s="10" t="n">
        <v>46188</v>
      </c>
      <c r="D216" s="5" t="s">
        <v>815</v>
      </c>
      <c r="E216" s="5" t="s">
        <v>820</v>
      </c>
      <c r="F216" s="5" t="s">
        <v>138</v>
      </c>
      <c r="G216" s="5" t="s">
        <v>476</v>
      </c>
      <c r="H216" s="5" t="s">
        <v>477</v>
      </c>
      <c r="I216" s="13" t="n">
        <v>7</v>
      </c>
      <c r="J216" s="5" t="s">
        <v>469</v>
      </c>
      <c r="K216" s="5" t="s">
        <v>1289</v>
      </c>
      <c r="L216" s="5" t="s">
        <v>822</v>
      </c>
    </row>
    <row r="217" customFormat="false" ht="15" hidden="false" customHeight="false" outlineLevel="0" collapsed="false">
      <c r="A217" s="5" t="s">
        <v>824</v>
      </c>
      <c r="B217" s="5" t="s">
        <v>909</v>
      </c>
      <c r="C217" s="10" t="n">
        <v>46191</v>
      </c>
      <c r="D217" s="5" t="s">
        <v>815</v>
      </c>
      <c r="E217" s="5" t="s">
        <v>823</v>
      </c>
      <c r="F217" s="5" t="s">
        <v>138</v>
      </c>
      <c r="G217" s="5" t="s">
        <v>467</v>
      </c>
      <c r="H217" s="5" t="s">
        <v>468</v>
      </c>
      <c r="I217" s="13" t="n">
        <v>18</v>
      </c>
      <c r="J217" s="5" t="s">
        <v>469</v>
      </c>
      <c r="K217" s="5" t="s">
        <v>1290</v>
      </c>
      <c r="L217" s="5" t="s">
        <v>825</v>
      </c>
    </row>
    <row r="218" customFormat="false" ht="15" hidden="false" customHeight="false" outlineLevel="0" collapsed="false">
      <c r="A218" s="5" t="s">
        <v>841</v>
      </c>
      <c r="B218" s="5" t="s">
        <v>909</v>
      </c>
      <c r="C218" s="10" t="n">
        <v>46202</v>
      </c>
      <c r="D218" s="5" t="s">
        <v>815</v>
      </c>
      <c r="E218" s="5" t="s">
        <v>840</v>
      </c>
      <c r="F218" s="5" t="s">
        <v>161</v>
      </c>
      <c r="G218" s="5" t="s">
        <v>461</v>
      </c>
      <c r="H218" s="5" t="s">
        <v>462</v>
      </c>
      <c r="I218" s="13" t="n">
        <v>9</v>
      </c>
      <c r="J218" s="5" t="s">
        <v>463</v>
      </c>
      <c r="K218" s="5" t="s">
        <v>1291</v>
      </c>
      <c r="L218" s="5" t="s">
        <v>842</v>
      </c>
    </row>
    <row r="219" customFormat="false" ht="15" hidden="false" customHeight="false" outlineLevel="0" collapsed="false">
      <c r="A219" s="5" t="s">
        <v>837</v>
      </c>
      <c r="B219" s="5" t="s">
        <v>909</v>
      </c>
      <c r="C219" s="10" t="n">
        <v>46204</v>
      </c>
      <c r="D219" s="5" t="s">
        <v>815</v>
      </c>
      <c r="E219" s="5" t="s">
        <v>836</v>
      </c>
      <c r="F219" s="5" t="s">
        <v>147</v>
      </c>
      <c r="G219" s="5" t="s">
        <v>510</v>
      </c>
      <c r="H219" s="5" t="s">
        <v>511</v>
      </c>
      <c r="I219" s="13" t="n">
        <v>1</v>
      </c>
      <c r="J219" s="5" t="s">
        <v>469</v>
      </c>
      <c r="K219" s="5" t="s">
        <v>1292</v>
      </c>
      <c r="L219" s="5" t="s">
        <v>838</v>
      </c>
    </row>
    <row r="220" customFormat="false" ht="15" hidden="false" customHeight="false" outlineLevel="0" collapsed="false">
      <c r="A220" s="5" t="s">
        <v>923</v>
      </c>
      <c r="B220" s="5" t="s">
        <v>909</v>
      </c>
      <c r="C220" s="10" t="n">
        <v>46219</v>
      </c>
      <c r="D220" s="5" t="s">
        <v>815</v>
      </c>
      <c r="E220" s="5" t="s">
        <v>846</v>
      </c>
      <c r="F220" s="5" t="s">
        <v>168</v>
      </c>
      <c r="G220" s="5" t="s">
        <v>496</v>
      </c>
      <c r="H220" s="5" t="s">
        <v>497</v>
      </c>
      <c r="I220" s="13" t="n">
        <v>8</v>
      </c>
      <c r="J220" s="5" t="s">
        <v>469</v>
      </c>
      <c r="K220" s="5" t="s">
        <v>1293</v>
      </c>
      <c r="L220" s="5" t="s">
        <v>922</v>
      </c>
    </row>
    <row r="221" customFormat="false" ht="15" hidden="false" customHeight="false" outlineLevel="0" collapsed="false">
      <c r="A221" s="5" t="s">
        <v>927</v>
      </c>
      <c r="B221" s="5" t="s">
        <v>909</v>
      </c>
      <c r="C221" s="10" t="n">
        <v>46226</v>
      </c>
      <c r="D221" s="5" t="s">
        <v>815</v>
      </c>
      <c r="E221" s="5" t="s">
        <v>846</v>
      </c>
      <c r="F221" s="5" t="s">
        <v>168</v>
      </c>
      <c r="G221" s="5" t="s">
        <v>496</v>
      </c>
      <c r="H221" s="5" t="s">
        <v>497</v>
      </c>
      <c r="I221" s="13" t="n">
        <v>6</v>
      </c>
      <c r="J221" s="5" t="s">
        <v>469</v>
      </c>
      <c r="K221" s="5" t="s">
        <v>1294</v>
      </c>
      <c r="L221" s="5" t="s">
        <v>926</v>
      </c>
    </row>
    <row r="222" customFormat="false" ht="15" hidden="false" customHeight="false" outlineLevel="0" collapsed="false">
      <c r="A222" s="5" t="s">
        <v>853</v>
      </c>
      <c r="B222" s="5" t="s">
        <v>909</v>
      </c>
      <c r="C222" s="10" t="n">
        <v>46230</v>
      </c>
      <c r="D222" s="5" t="s">
        <v>815</v>
      </c>
      <c r="E222" s="5" t="s">
        <v>852</v>
      </c>
      <c r="F222" s="5" t="s">
        <v>138</v>
      </c>
      <c r="G222" s="5" t="s">
        <v>503</v>
      </c>
      <c r="H222" s="5" t="s">
        <v>504</v>
      </c>
      <c r="I222" s="13" t="n">
        <v>5</v>
      </c>
      <c r="J222" s="5" t="s">
        <v>469</v>
      </c>
      <c r="K222" s="5" t="s">
        <v>1295</v>
      </c>
      <c r="L222" s="5" t="s">
        <v>854</v>
      </c>
    </row>
    <row r="223" customFormat="false" ht="15" hidden="false" customHeight="false" outlineLevel="0" collapsed="false">
      <c r="A223" s="5" t="s">
        <v>859</v>
      </c>
      <c r="B223" s="5" t="s">
        <v>909</v>
      </c>
      <c r="C223" s="10" t="n">
        <v>46244</v>
      </c>
      <c r="D223" s="5" t="s">
        <v>815</v>
      </c>
      <c r="E223" s="5" t="s">
        <v>858</v>
      </c>
      <c r="F223" s="5" t="s">
        <v>138</v>
      </c>
      <c r="G223" s="5" t="s">
        <v>467</v>
      </c>
      <c r="H223" s="5" t="s">
        <v>468</v>
      </c>
      <c r="I223" s="13" t="n">
        <v>15</v>
      </c>
      <c r="J223" s="5" t="s">
        <v>469</v>
      </c>
      <c r="K223" s="5" t="s">
        <v>1296</v>
      </c>
      <c r="L223" s="5" t="s">
        <v>860</v>
      </c>
    </row>
    <row r="224" customFormat="false" ht="15" hidden="false" customHeight="false" outlineLevel="0" collapsed="false">
      <c r="A224" s="5" t="s">
        <v>875</v>
      </c>
      <c r="B224" s="5" t="s">
        <v>909</v>
      </c>
      <c r="C224" s="10" t="n">
        <v>46267</v>
      </c>
      <c r="D224" s="5" t="s">
        <v>815</v>
      </c>
      <c r="E224" s="5" t="s">
        <v>874</v>
      </c>
      <c r="F224" s="5" t="s">
        <v>153</v>
      </c>
      <c r="G224" s="5" t="s">
        <v>508</v>
      </c>
      <c r="H224" s="5" t="s">
        <v>509</v>
      </c>
      <c r="I224" s="13" t="n">
        <v>13</v>
      </c>
      <c r="J224" s="5" t="s">
        <v>469</v>
      </c>
      <c r="K224" s="5" t="s">
        <v>1297</v>
      </c>
      <c r="L224" s="5" t="s">
        <v>876</v>
      </c>
    </row>
    <row r="225" customFormat="false" ht="15" hidden="false" customHeight="false" outlineLevel="0" collapsed="false">
      <c r="A225" s="5" t="s">
        <v>872</v>
      </c>
      <c r="B225" s="5" t="s">
        <v>909</v>
      </c>
      <c r="C225" s="10" t="n">
        <v>46272</v>
      </c>
      <c r="D225" s="5" t="s">
        <v>815</v>
      </c>
      <c r="E225" s="5" t="s">
        <v>871</v>
      </c>
      <c r="F225" s="5" t="s">
        <v>138</v>
      </c>
      <c r="G225" s="5" t="s">
        <v>467</v>
      </c>
      <c r="H225" s="5" t="s">
        <v>468</v>
      </c>
      <c r="I225" s="13" t="n">
        <v>17</v>
      </c>
      <c r="J225" s="5" t="s">
        <v>469</v>
      </c>
      <c r="K225" s="5" t="s">
        <v>1298</v>
      </c>
      <c r="L225" s="5" t="s">
        <v>873</v>
      </c>
    </row>
    <row r="226" customFormat="false" ht="15" hidden="false" customHeight="false" outlineLevel="0" collapsed="false">
      <c r="A226" s="5" t="s">
        <v>878</v>
      </c>
      <c r="B226" s="5" t="s">
        <v>909</v>
      </c>
      <c r="C226" s="10" t="n">
        <v>46279</v>
      </c>
      <c r="D226" s="5" t="s">
        <v>815</v>
      </c>
      <c r="E226" s="5" t="s">
        <v>877</v>
      </c>
      <c r="F226" s="5" t="s">
        <v>138</v>
      </c>
      <c r="G226" s="5" t="s">
        <v>476</v>
      </c>
      <c r="H226" s="5" t="s">
        <v>477</v>
      </c>
      <c r="I226" s="13" t="n">
        <v>7</v>
      </c>
      <c r="J226" s="5" t="s">
        <v>469</v>
      </c>
      <c r="K226" s="5" t="s">
        <v>1299</v>
      </c>
      <c r="L226" s="5" t="s">
        <v>879</v>
      </c>
    </row>
    <row r="227" customFormat="false" ht="15" hidden="false" customHeight="false" outlineLevel="0" collapsed="false">
      <c r="A227" s="5" t="s">
        <v>887</v>
      </c>
      <c r="B227" s="5" t="s">
        <v>909</v>
      </c>
      <c r="C227" s="10" t="n">
        <v>46294</v>
      </c>
      <c r="D227" s="5" t="s">
        <v>815</v>
      </c>
      <c r="E227" s="5" t="s">
        <v>886</v>
      </c>
      <c r="F227" s="5" t="s">
        <v>168</v>
      </c>
      <c r="G227" s="5" t="s">
        <v>512</v>
      </c>
      <c r="H227" s="5" t="s">
        <v>513</v>
      </c>
      <c r="I227" s="13" t="n">
        <v>4</v>
      </c>
      <c r="J227" s="5" t="s">
        <v>469</v>
      </c>
      <c r="K227" s="5" t="s">
        <v>1300</v>
      </c>
      <c r="L227" s="5" t="s">
        <v>888</v>
      </c>
    </row>
    <row r="228" customFormat="false" ht="15" hidden="false" customHeight="false" outlineLevel="0" collapsed="false">
      <c r="A228" s="5" t="s">
        <v>863</v>
      </c>
      <c r="B228" s="5" t="s">
        <v>909</v>
      </c>
      <c r="C228" s="10" t="n">
        <v>46233</v>
      </c>
      <c r="D228" s="5" t="s">
        <v>862</v>
      </c>
      <c r="E228" s="5" t="s">
        <v>861</v>
      </c>
      <c r="F228" s="5" t="s">
        <v>175</v>
      </c>
      <c r="G228" s="5" t="s">
        <v>470</v>
      </c>
      <c r="H228" s="5" t="s">
        <v>471</v>
      </c>
      <c r="I228" s="13" t="n">
        <v>36</v>
      </c>
      <c r="J228" s="5" t="s">
        <v>469</v>
      </c>
      <c r="K228" s="5" t="s">
        <v>1301</v>
      </c>
      <c r="L228" s="5" t="s">
        <v>864</v>
      </c>
    </row>
    <row r="229" customFormat="false" ht="15" hidden="false" customHeight="false" outlineLevel="0" collapsed="false">
      <c r="A229" s="5" t="s">
        <v>881</v>
      </c>
      <c r="B229" s="5" t="s">
        <v>909</v>
      </c>
      <c r="C229" s="10" t="n">
        <v>46268</v>
      </c>
      <c r="D229" s="5" t="s">
        <v>862</v>
      </c>
      <c r="E229" s="5" t="s">
        <v>880</v>
      </c>
      <c r="F229" s="5" t="s">
        <v>175</v>
      </c>
      <c r="G229" s="5" t="s">
        <v>482</v>
      </c>
      <c r="H229" s="5" t="s">
        <v>483</v>
      </c>
      <c r="I229" s="13" t="n">
        <v>54</v>
      </c>
      <c r="J229" s="5" t="s">
        <v>469</v>
      </c>
      <c r="K229" s="5" t="s">
        <v>1302</v>
      </c>
      <c r="L229" s="5" t="s">
        <v>882</v>
      </c>
    </row>
    <row r="230" customFormat="false" ht="15" hidden="false" customHeight="false" outlineLevel="0" collapsed="false">
      <c r="A230" s="5" t="s">
        <v>942</v>
      </c>
      <c r="B230" s="5" t="s">
        <v>909</v>
      </c>
      <c r="C230" s="10" t="n">
        <v>46273</v>
      </c>
      <c r="D230" s="5" t="s">
        <v>862</v>
      </c>
      <c r="E230" s="5" t="s">
        <v>883</v>
      </c>
      <c r="F230" s="5" t="s">
        <v>175</v>
      </c>
      <c r="G230" s="5" t="s">
        <v>494</v>
      </c>
      <c r="H230" s="5" t="s">
        <v>495</v>
      </c>
      <c r="I230" s="13" t="n">
        <v>86</v>
      </c>
      <c r="J230" s="5" t="s">
        <v>466</v>
      </c>
      <c r="K230" s="5" t="s">
        <v>1303</v>
      </c>
      <c r="L230" s="5" t="s">
        <v>941</v>
      </c>
    </row>
    <row r="231" customFormat="false" ht="15" hidden="false" customHeight="false" outlineLevel="0" collapsed="false">
      <c r="A231" s="5" t="s">
        <v>948</v>
      </c>
      <c r="B231" s="5" t="s">
        <v>909</v>
      </c>
      <c r="C231" s="10" t="n">
        <v>46280</v>
      </c>
      <c r="D231" s="5" t="s">
        <v>862</v>
      </c>
      <c r="E231" s="5" t="s">
        <v>883</v>
      </c>
      <c r="F231" s="5" t="s">
        <v>175</v>
      </c>
      <c r="G231" s="5" t="s">
        <v>494</v>
      </c>
      <c r="H231" s="5" t="s">
        <v>495</v>
      </c>
      <c r="I231" s="13" t="n">
        <v>58</v>
      </c>
      <c r="J231" s="5" t="s">
        <v>466</v>
      </c>
      <c r="K231" s="5" t="s">
        <v>1304</v>
      </c>
      <c r="L231" s="5" t="s">
        <v>947</v>
      </c>
    </row>
  </sheetData>
  <dataValidations count="1">
    <dataValidation allowBlank="true" errorStyle="stop" operator="between" showDropDown="false" showErrorMessage="false" showInputMessage="false" sqref="B2:B231" type="list">
      <formula1>"Delivery,Receipt"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4" min="3" style="0" width="13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15"/>
    <col collapsed="false" customWidth="true" hidden="false" outlineLevel="0" max="14" min="14" style="0" width="20"/>
    <col collapsed="false" customWidth="true" hidden="false" outlineLevel="0" max="15" min="15" style="0" width="21"/>
    <col collapsed="false" customWidth="true" hidden="false" outlineLevel="0" max="16" min="16" style="0" width="13"/>
    <col collapsed="false" customWidth="true" hidden="false" outlineLevel="0" max="18" min="17" style="0" width="16"/>
    <col collapsed="false" customWidth="true" hidden="false" outlineLevel="0" max="19" min="19" style="0" width="18"/>
  </cols>
  <sheetData>
    <row r="1" customFormat="false" ht="31.5" hidden="false" customHeight="true" outlineLevel="0" collapsed="false">
      <c r="A1" s="4" t="s">
        <v>1305</v>
      </c>
      <c r="B1" s="4" t="s">
        <v>1306</v>
      </c>
      <c r="C1" s="4" t="s">
        <v>976</v>
      </c>
      <c r="D1" s="4" t="s">
        <v>979</v>
      </c>
      <c r="E1" s="4" t="s">
        <v>1307</v>
      </c>
      <c r="F1" s="4" t="s">
        <v>978</v>
      </c>
      <c r="G1" s="4" t="s">
        <v>1308</v>
      </c>
      <c r="H1" s="4" t="s">
        <v>451</v>
      </c>
      <c r="I1" s="4" t="s">
        <v>452</v>
      </c>
      <c r="J1" s="4" t="s">
        <v>1309</v>
      </c>
      <c r="K1" s="4" t="s">
        <v>980</v>
      </c>
      <c r="L1" s="4" t="s">
        <v>1310</v>
      </c>
      <c r="M1" s="4" t="s">
        <v>1311</v>
      </c>
      <c r="N1" s="4" t="s">
        <v>1312</v>
      </c>
      <c r="O1" s="4" t="s">
        <v>1313</v>
      </c>
      <c r="P1" s="4" t="s">
        <v>1314</v>
      </c>
      <c r="Q1" s="4" t="s">
        <v>1315</v>
      </c>
      <c r="R1" s="4" t="s">
        <v>1316</v>
      </c>
      <c r="S1" s="4" t="s">
        <v>1317</v>
      </c>
    </row>
    <row r="2" customFormat="false" ht="15" hidden="false" customHeight="false" outlineLevel="0" collapsed="false">
      <c r="A2" s="5" t="s">
        <v>1318</v>
      </c>
      <c r="B2" s="5" t="s">
        <v>1319</v>
      </c>
      <c r="C2" s="10" t="n">
        <v>46189</v>
      </c>
      <c r="D2" s="5" t="s">
        <v>69</v>
      </c>
      <c r="E2" s="5" t="s">
        <v>70</v>
      </c>
      <c r="F2" s="5" t="s">
        <v>196</v>
      </c>
      <c r="G2" s="5" t="s">
        <v>198</v>
      </c>
      <c r="H2" s="5" t="s">
        <v>474</v>
      </c>
      <c r="I2" s="5" t="s">
        <v>475</v>
      </c>
      <c r="J2" s="5" t="s">
        <v>1320</v>
      </c>
      <c r="K2" s="5" t="n">
        <v>13</v>
      </c>
      <c r="L2" s="5" t="s">
        <v>1321</v>
      </c>
      <c r="M2" s="5" t="s">
        <v>1322</v>
      </c>
      <c r="N2" s="5" t="s">
        <v>1323</v>
      </c>
      <c r="O2" s="5" t="s">
        <v>1324</v>
      </c>
      <c r="P2" s="10" t="n">
        <v>46191</v>
      </c>
      <c r="Q2" s="7" t="n">
        <v>2535</v>
      </c>
      <c r="R2" s="7" t="n">
        <v>354.9</v>
      </c>
      <c r="S2" s="7" t="n">
        <f aca="false">Q2+R2</f>
        <v>2889.9</v>
      </c>
    </row>
    <row r="3" customFormat="false" ht="15" hidden="false" customHeight="false" outlineLevel="0" collapsed="false">
      <c r="A3" s="5" t="s">
        <v>1325</v>
      </c>
      <c r="B3" s="5" t="s">
        <v>1319</v>
      </c>
      <c r="C3" s="10" t="n">
        <v>46191</v>
      </c>
      <c r="D3" s="5" t="s">
        <v>47</v>
      </c>
      <c r="E3" s="5" t="s">
        <v>48</v>
      </c>
      <c r="F3" s="5" t="s">
        <v>248</v>
      </c>
      <c r="G3" s="5" t="s">
        <v>250</v>
      </c>
      <c r="H3" s="5" t="s">
        <v>467</v>
      </c>
      <c r="I3" s="5" t="s">
        <v>468</v>
      </c>
      <c r="J3" s="5" t="s">
        <v>1326</v>
      </c>
      <c r="K3" s="5" t="n">
        <v>1</v>
      </c>
      <c r="L3" s="5" t="s">
        <v>1327</v>
      </c>
      <c r="M3" s="5" t="s">
        <v>1322</v>
      </c>
      <c r="N3" s="5" t="s">
        <v>1323</v>
      </c>
      <c r="O3" s="5" t="s">
        <v>1328</v>
      </c>
      <c r="P3" s="10" t="n">
        <v>46193</v>
      </c>
      <c r="Q3" s="7" t="n">
        <v>23280</v>
      </c>
      <c r="R3" s="7" t="n">
        <v>3259.2</v>
      </c>
      <c r="S3" s="7" t="n">
        <f aca="false">Q3+R3</f>
        <v>26539.2</v>
      </c>
    </row>
    <row r="4" customFormat="false" ht="15" hidden="false" customHeight="false" outlineLevel="0" collapsed="false">
      <c r="A4" s="5" t="s">
        <v>1329</v>
      </c>
      <c r="B4" s="5" t="s">
        <v>1319</v>
      </c>
      <c r="C4" s="10" t="n">
        <v>46209</v>
      </c>
      <c r="D4" s="5" t="s">
        <v>69</v>
      </c>
      <c r="E4" s="5" t="s">
        <v>70</v>
      </c>
      <c r="F4" s="5" t="s">
        <v>272</v>
      </c>
      <c r="G4" s="5" t="s">
        <v>274</v>
      </c>
      <c r="H4" s="5" t="s">
        <v>482</v>
      </c>
      <c r="I4" s="5" t="s">
        <v>483</v>
      </c>
      <c r="J4" s="5" t="s">
        <v>1330</v>
      </c>
      <c r="K4" s="5" t="n">
        <v>1</v>
      </c>
      <c r="L4" s="5" t="s">
        <v>1321</v>
      </c>
      <c r="M4" s="5" t="s">
        <v>1322</v>
      </c>
      <c r="N4" s="5" t="s">
        <v>1323</v>
      </c>
      <c r="O4" s="5" t="s">
        <v>1331</v>
      </c>
      <c r="P4" s="10" t="n">
        <v>46210</v>
      </c>
      <c r="Q4" s="7" t="n">
        <v>1750</v>
      </c>
      <c r="R4" s="7" t="n">
        <v>245</v>
      </c>
      <c r="S4" s="7" t="n">
        <f aca="false">Q4+R4</f>
        <v>1995</v>
      </c>
    </row>
    <row r="5" customFormat="false" ht="15" hidden="false" customHeight="false" outlineLevel="0" collapsed="false">
      <c r="A5" s="5" t="s">
        <v>1332</v>
      </c>
      <c r="B5" s="5" t="s">
        <v>1319</v>
      </c>
      <c r="C5" s="10" t="n">
        <v>46216</v>
      </c>
      <c r="D5" s="5" t="s">
        <v>38</v>
      </c>
      <c r="E5" s="5" t="s">
        <v>39</v>
      </c>
      <c r="F5" s="5" t="s">
        <v>281</v>
      </c>
      <c r="G5" s="5" t="s">
        <v>283</v>
      </c>
      <c r="H5" s="5" t="s">
        <v>484</v>
      </c>
      <c r="I5" s="5" t="s">
        <v>485</v>
      </c>
      <c r="J5" s="5" t="s">
        <v>1333</v>
      </c>
      <c r="K5" s="5" t="n">
        <v>5</v>
      </c>
      <c r="L5" s="5" t="s">
        <v>1327</v>
      </c>
      <c r="M5" s="5" t="s">
        <v>1322</v>
      </c>
      <c r="N5" s="5" t="s">
        <v>1323</v>
      </c>
      <c r="O5" s="5" t="s">
        <v>1334</v>
      </c>
      <c r="P5" s="10" t="n">
        <v>46218</v>
      </c>
      <c r="Q5" s="7" t="n">
        <v>824.5</v>
      </c>
      <c r="R5" s="7" t="n">
        <v>115.43</v>
      </c>
      <c r="S5" s="7" t="n">
        <f aca="false">Q5+R5</f>
        <v>939.93</v>
      </c>
    </row>
    <row r="6" customFormat="false" ht="15" hidden="false" customHeight="false" outlineLevel="0" collapsed="false">
      <c r="A6" s="5" t="s">
        <v>1335</v>
      </c>
      <c r="B6" s="5" t="s">
        <v>1319</v>
      </c>
      <c r="C6" s="10" t="n">
        <v>46218</v>
      </c>
      <c r="D6" s="5" t="s">
        <v>97</v>
      </c>
      <c r="E6" s="5" t="s">
        <v>98</v>
      </c>
      <c r="F6" s="5" t="s">
        <v>284</v>
      </c>
      <c r="G6" s="5" t="s">
        <v>286</v>
      </c>
      <c r="H6" s="5" t="s">
        <v>494</v>
      </c>
      <c r="I6" s="5" t="s">
        <v>495</v>
      </c>
      <c r="J6" s="5" t="s">
        <v>1336</v>
      </c>
      <c r="K6" s="5" t="n">
        <v>1</v>
      </c>
      <c r="L6" s="5" t="s">
        <v>1337</v>
      </c>
      <c r="M6" s="5" t="s">
        <v>1322</v>
      </c>
      <c r="N6" s="5" t="s">
        <v>1323</v>
      </c>
      <c r="O6" s="5" t="s">
        <v>1338</v>
      </c>
      <c r="P6" s="10" t="n">
        <v>46220</v>
      </c>
      <c r="Q6" s="7" t="n">
        <v>608</v>
      </c>
      <c r="R6" s="7" t="n">
        <v>85.12</v>
      </c>
      <c r="S6" s="7" t="n">
        <f aca="false">Q6+R6</f>
        <v>693.12</v>
      </c>
    </row>
    <row r="7" customFormat="false" ht="15" hidden="false" customHeight="false" outlineLevel="0" collapsed="false">
      <c r="A7" s="5" t="s">
        <v>1339</v>
      </c>
      <c r="B7" s="5" t="s">
        <v>1319</v>
      </c>
      <c r="C7" s="10" t="n">
        <v>46222</v>
      </c>
      <c r="D7" s="5" t="s">
        <v>118</v>
      </c>
      <c r="E7" s="5" t="s">
        <v>119</v>
      </c>
      <c r="F7" s="5" t="s">
        <v>291</v>
      </c>
      <c r="G7" s="5" t="s">
        <v>293</v>
      </c>
      <c r="H7" s="5" t="s">
        <v>490</v>
      </c>
      <c r="I7" s="5" t="s">
        <v>491</v>
      </c>
      <c r="J7" s="5" t="s">
        <v>1340</v>
      </c>
      <c r="K7" s="5" t="n">
        <v>10</v>
      </c>
      <c r="L7" s="5" t="s">
        <v>1321</v>
      </c>
      <c r="M7" s="5" t="s">
        <v>1322</v>
      </c>
      <c r="N7" s="5" t="s">
        <v>1323</v>
      </c>
      <c r="O7" s="5" t="s">
        <v>1341</v>
      </c>
      <c r="P7" s="10" t="n">
        <v>46224</v>
      </c>
      <c r="Q7" s="7" t="n">
        <v>2900</v>
      </c>
      <c r="R7" s="7" t="n">
        <v>406</v>
      </c>
      <c r="S7" s="7" t="n">
        <f aca="false">Q7+R7</f>
        <v>3306</v>
      </c>
    </row>
    <row r="8" customFormat="false" ht="15" hidden="false" customHeight="false" outlineLevel="0" collapsed="false">
      <c r="A8" s="5" t="s">
        <v>1342</v>
      </c>
      <c r="B8" s="5" t="s">
        <v>1319</v>
      </c>
      <c r="C8" s="10" t="n">
        <v>46236</v>
      </c>
      <c r="D8" s="5" t="s">
        <v>76</v>
      </c>
      <c r="E8" s="5" t="s">
        <v>77</v>
      </c>
      <c r="F8" s="5" t="s">
        <v>321</v>
      </c>
      <c r="G8" s="5" t="s">
        <v>323</v>
      </c>
      <c r="H8" s="5" t="s">
        <v>505</v>
      </c>
      <c r="I8" s="5" t="s">
        <v>506</v>
      </c>
      <c r="J8" s="5" t="s">
        <v>1343</v>
      </c>
      <c r="K8" s="5" t="n">
        <v>1</v>
      </c>
      <c r="L8" s="5" t="s">
        <v>1344</v>
      </c>
      <c r="M8" s="5" t="s">
        <v>1322</v>
      </c>
      <c r="N8" s="5" t="s">
        <v>1345</v>
      </c>
      <c r="O8" s="5" t="s">
        <v>1346</v>
      </c>
      <c r="P8" s="10" t="n">
        <v>46238</v>
      </c>
      <c r="Q8" s="7" t="n">
        <v>1029</v>
      </c>
      <c r="R8" s="7" t="n">
        <v>144.06</v>
      </c>
      <c r="S8" s="7" t="n">
        <f aca="false">Q8+R8</f>
        <v>1173.06</v>
      </c>
    </row>
    <row r="9" customFormat="false" ht="15" hidden="false" customHeight="false" outlineLevel="0" collapsed="false">
      <c r="A9" s="5" t="s">
        <v>1347</v>
      </c>
      <c r="B9" s="5" t="s">
        <v>1319</v>
      </c>
      <c r="C9" s="10" t="n">
        <v>46236</v>
      </c>
      <c r="D9" s="5" t="s">
        <v>38</v>
      </c>
      <c r="E9" s="5" t="s">
        <v>39</v>
      </c>
      <c r="F9" s="5" t="s">
        <v>318</v>
      </c>
      <c r="G9" s="5" t="s">
        <v>320</v>
      </c>
      <c r="H9" s="5" t="s">
        <v>484</v>
      </c>
      <c r="I9" s="5" t="s">
        <v>485</v>
      </c>
      <c r="J9" s="5" t="s">
        <v>1333</v>
      </c>
      <c r="K9" s="5" t="n">
        <v>8</v>
      </c>
      <c r="L9" s="5" t="s">
        <v>1348</v>
      </c>
      <c r="M9" s="5" t="s">
        <v>1322</v>
      </c>
      <c r="N9" s="5" t="s">
        <v>1345</v>
      </c>
      <c r="O9" s="5" t="s">
        <v>1349</v>
      </c>
      <c r="P9" s="10" t="n">
        <v>46238</v>
      </c>
      <c r="Q9" s="7" t="n">
        <v>1319.2</v>
      </c>
      <c r="R9" s="7" t="n">
        <v>184.69</v>
      </c>
      <c r="S9" s="7" t="n">
        <f aca="false">Q9+R9</f>
        <v>1503.89</v>
      </c>
    </row>
    <row r="10" customFormat="false" ht="15" hidden="false" customHeight="false" outlineLevel="0" collapsed="false">
      <c r="A10" s="5" t="s">
        <v>1350</v>
      </c>
      <c r="B10" s="5" t="s">
        <v>1319</v>
      </c>
      <c r="C10" s="10" t="n">
        <v>46288</v>
      </c>
      <c r="D10" s="5" t="s">
        <v>47</v>
      </c>
      <c r="E10" s="5" t="s">
        <v>48</v>
      </c>
      <c r="F10" s="5" t="s">
        <v>394</v>
      </c>
      <c r="G10" s="5" t="s">
        <v>396</v>
      </c>
      <c r="H10" s="5" t="s">
        <v>514</v>
      </c>
      <c r="I10" s="5" t="s">
        <v>515</v>
      </c>
      <c r="J10" s="5" t="s">
        <v>1351</v>
      </c>
      <c r="K10" s="5" t="n">
        <v>1</v>
      </c>
      <c r="L10" s="5" t="s">
        <v>1344</v>
      </c>
      <c r="M10" s="5" t="s">
        <v>1322</v>
      </c>
      <c r="N10" s="5" t="s">
        <v>1345</v>
      </c>
      <c r="O10" s="5" t="s">
        <v>1352</v>
      </c>
      <c r="P10" s="10" t="n">
        <v>46288</v>
      </c>
      <c r="Q10" s="7" t="n">
        <v>809950</v>
      </c>
      <c r="R10" s="7" t="n">
        <v>113393</v>
      </c>
      <c r="S10" s="7" t="n">
        <f aca="false">Q10+R10</f>
        <v>923343</v>
      </c>
    </row>
    <row r="11" customFormat="false" ht="15" hidden="false" customHeight="false" outlineLevel="0" collapsed="false">
      <c r="A11" s="5" t="s">
        <v>1353</v>
      </c>
      <c r="B11" s="5" t="s">
        <v>1354</v>
      </c>
      <c r="C11" s="10" t="n">
        <v>46208</v>
      </c>
      <c r="D11" s="5" t="s">
        <v>161</v>
      </c>
      <c r="E11" s="5" t="s">
        <v>162</v>
      </c>
      <c r="F11" s="5" t="s">
        <v>840</v>
      </c>
      <c r="G11" s="5" t="s">
        <v>842</v>
      </c>
      <c r="H11" s="5" t="s">
        <v>461</v>
      </c>
      <c r="I11" s="5" t="s">
        <v>462</v>
      </c>
      <c r="J11" s="5" t="s">
        <v>1355</v>
      </c>
      <c r="K11" s="5" t="n">
        <v>1</v>
      </c>
      <c r="L11" s="5" t="s">
        <v>1356</v>
      </c>
      <c r="M11" s="5" t="s">
        <v>1322</v>
      </c>
      <c r="N11" s="5" t="s">
        <v>1357</v>
      </c>
      <c r="O11" s="5" t="s">
        <v>1358</v>
      </c>
      <c r="P11" s="10" t="n">
        <v>46210</v>
      </c>
      <c r="Q11" s="7" t="n">
        <v>27500</v>
      </c>
      <c r="R11" s="7" t="n">
        <v>3850</v>
      </c>
      <c r="S11" s="7" t="n">
        <f aca="false">Q11+R11</f>
        <v>31350</v>
      </c>
    </row>
    <row r="12" customFormat="false" ht="15" hidden="false" customHeight="false" outlineLevel="0" collapsed="false">
      <c r="A12" s="5" t="s">
        <v>1359</v>
      </c>
      <c r="B12" s="5" t="s">
        <v>1354</v>
      </c>
      <c r="C12" s="10" t="n">
        <v>46247</v>
      </c>
      <c r="D12" s="5" t="s">
        <v>153</v>
      </c>
      <c r="E12" s="5" t="s">
        <v>154</v>
      </c>
      <c r="F12" s="5" t="s">
        <v>865</v>
      </c>
      <c r="G12" s="5" t="s">
        <v>935</v>
      </c>
      <c r="H12" s="5" t="s">
        <v>474</v>
      </c>
      <c r="I12" s="5" t="s">
        <v>475</v>
      </c>
      <c r="J12" s="5" t="s">
        <v>1360</v>
      </c>
      <c r="K12" s="5" t="n">
        <v>25</v>
      </c>
      <c r="L12" s="5" t="s">
        <v>1356</v>
      </c>
      <c r="M12" s="5" t="s">
        <v>1322</v>
      </c>
      <c r="N12" s="5" t="s">
        <v>1357</v>
      </c>
      <c r="O12" s="5" t="s">
        <v>1361</v>
      </c>
      <c r="P12" s="10" t="n">
        <v>46249</v>
      </c>
      <c r="Q12" s="7" t="n">
        <v>3625</v>
      </c>
      <c r="R12" s="7" t="n">
        <v>507.5</v>
      </c>
      <c r="S12" s="7" t="n">
        <f aca="false">Q12+R12</f>
        <v>4132.5</v>
      </c>
    </row>
  </sheetData>
  <dataValidations count="1">
    <dataValidation allowBlank="true" errorStyle="stop" operator="between" showDropDown="false" showErrorMessage="false" showInputMessage="false" sqref="B2:B12" type="list">
      <formula1>"Customer return,Supplier return"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20"/>
  </cols>
  <sheetData>
    <row r="1" customFormat="false" ht="31.5" hidden="false" customHeight="true" outlineLevel="0" collapsed="false">
      <c r="A1" s="4" t="s">
        <v>1362</v>
      </c>
      <c r="B1" s="4" t="s">
        <v>182</v>
      </c>
      <c r="C1" s="4" t="s">
        <v>1363</v>
      </c>
      <c r="D1" s="4" t="s">
        <v>1364</v>
      </c>
      <c r="E1" s="4" t="s">
        <v>1365</v>
      </c>
      <c r="F1" s="4" t="s">
        <v>1366</v>
      </c>
      <c r="G1" s="4" t="s">
        <v>1367</v>
      </c>
      <c r="H1" s="4" t="s">
        <v>1368</v>
      </c>
      <c r="I1" s="4" t="s">
        <v>1369</v>
      </c>
      <c r="J1" s="4" t="s">
        <v>1370</v>
      </c>
      <c r="K1" s="4" t="s">
        <v>1371</v>
      </c>
      <c r="L1" s="4" t="s">
        <v>1372</v>
      </c>
      <c r="M1" s="4" t="s">
        <v>1373</v>
      </c>
      <c r="N1" s="4" t="s">
        <v>1374</v>
      </c>
      <c r="O1" s="4" t="s">
        <v>1375</v>
      </c>
      <c r="P1" s="4" t="s">
        <v>1376</v>
      </c>
      <c r="Q1" s="4" t="s">
        <v>1377</v>
      </c>
      <c r="R1" s="4" t="s">
        <v>1378</v>
      </c>
    </row>
    <row r="2" customFormat="false" ht="15" hidden="false" customHeight="false" outlineLevel="0" collapsed="false">
      <c r="A2" s="5" t="s">
        <v>189</v>
      </c>
      <c r="B2" s="5" t="s">
        <v>1379</v>
      </c>
      <c r="C2" s="7" t="n">
        <f aca="false">SUMIFS('Customer Invoices and Payments'!$G$4:$G$85,'Customer Invoices and Payments'!$C$4:$C$85,A2)</f>
        <v>968141.34</v>
      </c>
      <c r="D2" s="7" t="n">
        <f aca="false">SUMIFS('Customer Invoices and Payments'!$H$4:$H$85,'Customer Invoices and Payments'!$C$4:$C$85,A2)</f>
        <v>135539.78</v>
      </c>
      <c r="E2" s="7" t="n">
        <f aca="false">SUMIFS('Customer and Supplier Returns'!$Q$2:$Q$12,'Customer and Supplier Returns'!$B$2:$B$12,"Customer return",'Customer and Supplier Returns'!$P$2:$P$12,"&gt;="&amp;DATE(2026,5,1),'Customer and Supplier Returns'!$P$2:$P$12,"&lt;="&amp;DATE(2026,5,31))</f>
        <v>0</v>
      </c>
      <c r="F2" s="7" t="n">
        <f aca="false">C2-E2</f>
        <v>968141.34</v>
      </c>
      <c r="G2" s="7" t="n">
        <v>728418</v>
      </c>
      <c r="H2" s="7" t="n">
        <f aca="false">F2-G2</f>
        <v>239723.34</v>
      </c>
      <c r="I2" s="9" t="n">
        <f aca="false">IF(F2=0,0,H2/F2)</f>
        <v>0.247611924101909</v>
      </c>
      <c r="J2" s="7" t="n">
        <f aca="false">SUMIFS('Vendor Bills and Payments'!$I$4:$I$31,'Vendor Bills and Payments'!$C$4:$C$31,A2)</f>
        <v>0</v>
      </c>
      <c r="K2" s="7" t="n">
        <f aca="false">SUMIFS('Vendor Bills and Payments'!$J$4:$J$31,'Vendor Bills and Payments'!$C$4:$C$31,A2)</f>
        <v>0</v>
      </c>
      <c r="L2" s="7" t="n">
        <f aca="false">SUMIFS('Customer Invoices and Payments'!$F$91:$F$152,'Customer Invoices and Payments'!$B$91:$B$152,"&gt;="&amp;DATE(2026,5,1),'Customer Invoices and Payments'!$B$91:$B$152,"&lt;="&amp;DATE(2026,5,31))</f>
        <v>11679.3</v>
      </c>
      <c r="M2" s="7" t="n">
        <f aca="false">SUMIFS('Vendor Bills and Payments'!$F$37:$F$54,'Vendor Bills and Payments'!$B$37:$B$54,"&gt;="&amp;DATE(2026,5,1),'Vendor Bills and Payments'!$B$37:$B$54,"&lt;="&amp;DATE(2026,5,31))</f>
        <v>0</v>
      </c>
      <c r="N2" s="7" t="n">
        <f aca="false">SUMIFS('Customer Invoices and Payments'!$I$4:$I$85,'Customer Invoices and Payments'!$B$4:$B$85,"&lt;="&amp;DATE(2026,5,31))-SUMIFS('Customer and Supplier Returns'!$S$2:$S$12,'Customer and Supplier Returns'!$B$2:$B$12,"Customer return",'Customer and Supplier Returns'!$P$2:$P$12,"&lt;="&amp;DATE(2026,5,31))-SUMIFS('Customer Invoices and Payments'!$F$91:$F$152,'Customer Invoices and Payments'!$B$91:$B$152,"&lt;="&amp;DATE(2026,5,31))</f>
        <v>1092001.82</v>
      </c>
      <c r="O2" s="7" t="n">
        <f aca="false">SUMIFS('Vendor Bills and Payments'!$K$4:$K$31,'Vendor Bills and Payments'!$B$4:$B$31,"&lt;="&amp;DATE(2026,5,31))-SUMIFS('Customer and Supplier Returns'!$S$2:$S$12,'Customer and Supplier Returns'!$B$2:$B$12,"Supplier return",'Customer and Supplier Returns'!$P$2:$P$12,"&lt;="&amp;DATE(2026,5,31))-SUMIFS('Vendor Bills and Payments'!$F$37:$F$54,'Vendor Bills and Payments'!$B$37:$B$54,"&lt;="&amp;DATE(2026,5,31))</f>
        <v>0</v>
      </c>
      <c r="P2" s="7" t="n">
        <v>23441782</v>
      </c>
      <c r="Q2" s="5" t="n">
        <v>16</v>
      </c>
      <c r="R2" s="5" t="n">
        <v>5</v>
      </c>
    </row>
    <row r="3" customFormat="false" ht="15" hidden="false" customHeight="false" outlineLevel="0" collapsed="false">
      <c r="A3" s="5" t="s">
        <v>239</v>
      </c>
      <c r="B3" s="5" t="s">
        <v>1380</v>
      </c>
      <c r="C3" s="7" t="n">
        <f aca="false">SUMIFS('Customer Invoices and Payments'!$G$4:$G$85,'Customer Invoices and Payments'!$C$4:$C$85,A3)</f>
        <v>1115048.49</v>
      </c>
      <c r="D3" s="7" t="n">
        <f aca="false">SUMIFS('Customer Invoices and Payments'!$H$4:$H$85,'Customer Invoices and Payments'!$C$4:$C$85,A3)</f>
        <v>156106.79</v>
      </c>
      <c r="E3" s="7" t="n">
        <f aca="false">SUMIFS('Customer and Supplier Returns'!$Q$2:$Q$12,'Customer and Supplier Returns'!$B$2:$B$12,"Customer return",'Customer and Supplier Returns'!$P$2:$P$12,"&gt;="&amp;DATE(2026,6,1),'Customer and Supplier Returns'!$P$2:$P$12,"&lt;="&amp;DATE(2026,6,30))</f>
        <v>25815</v>
      </c>
      <c r="F3" s="7" t="n">
        <f aca="false">C3-E3</f>
        <v>1089233.49</v>
      </c>
      <c r="G3" s="7" t="n">
        <v>818769</v>
      </c>
      <c r="H3" s="7" t="n">
        <f aca="false">F3-G3</f>
        <v>270464.49</v>
      </c>
      <c r="I3" s="9" t="n">
        <f aca="false">IF(F3=0,0,H3/F3)</f>
        <v>0.248307174249664</v>
      </c>
      <c r="J3" s="7" t="n">
        <f aca="false">SUMIFS('Vendor Bills and Payments'!$I$4:$I$31,'Vendor Bills and Payments'!$C$4:$C$31,A3)</f>
        <v>1756713</v>
      </c>
      <c r="K3" s="7" t="n">
        <f aca="false">SUMIFS('Vendor Bills and Payments'!$J$4:$J$31,'Vendor Bills and Payments'!$C$4:$C$31,A3)</f>
        <v>245939.82</v>
      </c>
      <c r="L3" s="7" t="n">
        <f aca="false">SUMIFS('Customer Invoices and Payments'!$F$91:$F$152,'Customer Invoices and Payments'!$B$91:$B$152,"&gt;="&amp;DATE(2026,6,1),'Customer Invoices and Payments'!$B$91:$B$152,"&lt;="&amp;DATE(2026,6,30))</f>
        <v>477580.47</v>
      </c>
      <c r="M3" s="7" t="n">
        <f aca="false">SUMIFS('Vendor Bills and Payments'!$F$37:$F$54,'Vendor Bills and Payments'!$B$37:$B$54,"&gt;="&amp;DATE(2026,6,1),'Vendor Bills and Payments'!$B$37:$B$54,"&lt;="&amp;DATE(2026,6,30))</f>
        <v>0</v>
      </c>
      <c r="N3" s="7" t="n">
        <f aca="false">SUMIFS('Customer Invoices and Payments'!$I$4:$I$85,'Customer Invoices and Payments'!$B$4:$B$85,"&lt;="&amp;DATE(2026,6,30))-SUMIFS('Customer and Supplier Returns'!$S$2:$S$12,'Customer and Supplier Returns'!$B$2:$B$12,"Customer return",'Customer and Supplier Returns'!$P$2:$P$12,"&lt;="&amp;DATE(2026,6,30))-SUMIFS('Customer Invoices and Payments'!$F$91:$F$152,'Customer Invoices and Payments'!$B$91:$B$152,"&lt;="&amp;DATE(2026,6,30))</f>
        <v>1856147.53</v>
      </c>
      <c r="O3" s="7" t="n">
        <f aca="false">SUMIFS('Vendor Bills and Payments'!$K$4:$K$31,'Vendor Bills and Payments'!$B$4:$B$31,"&lt;="&amp;DATE(2026,6,30))-SUMIFS('Customer and Supplier Returns'!$S$2:$S$12,'Customer and Supplier Returns'!$B$2:$B$12,"Supplier return",'Customer and Supplier Returns'!$P$2:$P$12,"&lt;="&amp;DATE(2026,6,30))-SUMIFS('Vendor Bills and Payments'!$F$37:$F$54,'Vendor Bills and Payments'!$B$37:$B$54,"&lt;="&amp;DATE(2026,6,30))</f>
        <v>2002652.82</v>
      </c>
      <c r="P3" s="7" t="n">
        <v>24315081</v>
      </c>
      <c r="Q3" s="5" t="n">
        <v>16</v>
      </c>
      <c r="R3" s="5" t="n">
        <v>6</v>
      </c>
    </row>
    <row r="4" customFormat="false" ht="15" hidden="false" customHeight="false" outlineLevel="0" collapsed="false">
      <c r="A4" s="5" t="s">
        <v>288</v>
      </c>
      <c r="B4" s="5" t="s">
        <v>1381</v>
      </c>
      <c r="C4" s="7" t="n">
        <f aca="false">SUMIFS('Customer Invoices and Payments'!$G$4:$G$85,'Customer Invoices and Payments'!$C$4:$C$85,A4)</f>
        <v>1755623.07</v>
      </c>
      <c r="D4" s="7" t="n">
        <f aca="false">SUMIFS('Customer Invoices and Payments'!$H$4:$H$85,'Customer Invoices and Payments'!$C$4:$C$85,A4)</f>
        <v>245787.23</v>
      </c>
      <c r="E4" s="7" t="n">
        <f aca="false">SUMIFS('Customer and Supplier Returns'!$Q$2:$Q$12,'Customer and Supplier Returns'!$B$2:$B$12,"Customer return",'Customer and Supplier Returns'!$P$2:$P$12,"&gt;="&amp;DATE(2026,7,1),'Customer and Supplier Returns'!$P$2:$P$12,"&lt;="&amp;DATE(2026,7,31))</f>
        <v>6082.5</v>
      </c>
      <c r="F4" s="7" t="n">
        <f aca="false">C4-E4</f>
        <v>1749540.57</v>
      </c>
      <c r="G4" s="7" t="n">
        <v>1344255</v>
      </c>
      <c r="H4" s="7" t="n">
        <f aca="false">F4-G4</f>
        <v>405285.57</v>
      </c>
      <c r="I4" s="9" t="n">
        <f aca="false">IF(F4=0,0,H4/F4)</f>
        <v>0.231652570365945</v>
      </c>
      <c r="J4" s="7" t="n">
        <f aca="false">SUMIFS('Vendor Bills and Payments'!$I$4:$I$31,'Vendor Bills and Payments'!$C$4:$C$31,A4)</f>
        <v>19590835</v>
      </c>
      <c r="K4" s="7" t="n">
        <f aca="false">SUMIFS('Vendor Bills and Payments'!$J$4:$J$31,'Vendor Bills and Payments'!$C$4:$C$31,A4)</f>
        <v>2742716.9</v>
      </c>
      <c r="L4" s="7" t="n">
        <f aca="false">SUMIFS('Customer Invoices and Payments'!$F$91:$F$152,'Customer Invoices and Payments'!$B$91:$B$152,"&gt;="&amp;DATE(2026,7,1),'Customer Invoices and Payments'!$B$91:$B$152,"&lt;="&amp;DATE(2026,7,31))</f>
        <v>1023803.04</v>
      </c>
      <c r="M4" s="7" t="n">
        <f aca="false">SUMIFS('Vendor Bills and Payments'!$F$37:$F$54,'Vendor Bills and Payments'!$B$37:$B$54,"&gt;="&amp;DATE(2026,7,1),'Vendor Bills and Payments'!$B$37:$B$54,"&lt;="&amp;DATE(2026,7,31))</f>
        <v>622682.82</v>
      </c>
      <c r="N4" s="7" t="n">
        <f aca="false">SUMIFS('Customer Invoices and Payments'!$I$4:$I$85,'Customer Invoices and Payments'!$B$4:$B$85,"&lt;="&amp;DATE(2026,7,31))-SUMIFS('Customer and Supplier Returns'!$S$2:$S$12,'Customer and Supplier Returns'!$B$2:$B$12,"Customer return",'Customer and Supplier Returns'!$P$2:$P$12,"&lt;="&amp;DATE(2026,7,31))-SUMIFS('Customer Invoices and Payments'!$F$91:$F$152,'Customer Invoices and Payments'!$B$91:$B$152,"&lt;="&amp;DATE(2026,7,31))</f>
        <v>2826820.74</v>
      </c>
      <c r="O4" s="7" t="n">
        <f aca="false">SUMIFS('Vendor Bills and Payments'!$K$4:$K$31,'Vendor Bills and Payments'!$B$4:$B$31,"&lt;="&amp;DATE(2026,7,31))-SUMIFS('Customer and Supplier Returns'!$S$2:$S$12,'Customer and Supplier Returns'!$B$2:$B$12,"Supplier return",'Customer and Supplier Returns'!$P$2:$P$12,"&lt;="&amp;DATE(2026,7,31))-SUMIFS('Vendor Bills and Payments'!$F$37:$F$54,'Vendor Bills and Payments'!$B$37:$B$54,"&lt;="&amp;DATE(2026,7,31))</f>
        <v>23682171.9</v>
      </c>
      <c r="P4" s="7" t="n">
        <v>42626831</v>
      </c>
      <c r="Q4" s="5" t="n">
        <v>19</v>
      </c>
      <c r="R4" s="5" t="n">
        <v>5</v>
      </c>
    </row>
    <row r="5" customFormat="false" ht="15" hidden="false" customHeight="false" outlineLevel="0" collapsed="false">
      <c r="A5" s="5" t="s">
        <v>346</v>
      </c>
      <c r="B5" s="5" t="s">
        <v>1382</v>
      </c>
      <c r="C5" s="7" t="n">
        <f aca="false">SUMIFS('Customer Invoices and Payments'!$G$4:$G$85,'Customer Invoices and Payments'!$C$4:$C$85,A5)</f>
        <v>24961162.64</v>
      </c>
      <c r="D5" s="7" t="n">
        <f aca="false">SUMIFS('Customer Invoices and Payments'!$H$4:$H$85,'Customer Invoices and Payments'!$C$4:$C$85,A5)</f>
        <v>3494562.78</v>
      </c>
      <c r="E5" s="7" t="n">
        <f aca="false">SUMIFS('Customer and Supplier Returns'!$Q$2:$Q$12,'Customer and Supplier Returns'!$B$2:$B$12,"Customer return",'Customer and Supplier Returns'!$P$2:$P$12,"&gt;="&amp;DATE(2026,8,1),'Customer and Supplier Returns'!$P$2:$P$12,"&lt;="&amp;DATE(2026,8,31))</f>
        <v>2348.2</v>
      </c>
      <c r="F5" s="7" t="n">
        <f aca="false">C5-E5</f>
        <v>24958814.44</v>
      </c>
      <c r="G5" s="7" t="n">
        <v>19901701</v>
      </c>
      <c r="H5" s="7" t="n">
        <f aca="false">F5-G5</f>
        <v>5057113.44</v>
      </c>
      <c r="I5" s="9" t="n">
        <f aca="false">IF(F5=0,0,H5/F5)</f>
        <v>0.202618335584693</v>
      </c>
      <c r="J5" s="7" t="n">
        <f aca="false">SUMIFS('Vendor Bills and Payments'!$I$4:$I$31,'Vendor Bills and Payments'!$C$4:$C$31,A5)</f>
        <v>1173575</v>
      </c>
      <c r="K5" s="7" t="n">
        <f aca="false">SUMIFS('Vendor Bills and Payments'!$J$4:$J$31,'Vendor Bills and Payments'!$C$4:$C$31,A5)</f>
        <v>164300.5</v>
      </c>
      <c r="L5" s="7" t="n">
        <f aca="false">SUMIFS('Customer Invoices and Payments'!$F$91:$F$152,'Customer Invoices and Payments'!$B$91:$B$152,"&gt;="&amp;DATE(2026,8,1),'Customer Invoices and Payments'!$B$91:$B$152,"&lt;="&amp;DATE(2026,8,31))</f>
        <v>1858830.29</v>
      </c>
      <c r="M5" s="7" t="n">
        <f aca="false">SUMIFS('Vendor Bills and Payments'!$F$37:$F$54,'Vendor Bills and Payments'!$B$37:$B$54,"&gt;="&amp;DATE(2026,8,1),'Vendor Bills and Payments'!$B$37:$B$54,"&lt;="&amp;DATE(2026,8,31))</f>
        <v>2098289.7</v>
      </c>
      <c r="N5" s="7" t="n">
        <f aca="false">SUMIFS('Customer Invoices and Payments'!$I$4:$I$85,'Customer Invoices and Payments'!$B$4:$B$85,"&lt;="&amp;DATE(2026,8,31))-SUMIFS('Customer and Supplier Returns'!$S$2:$S$12,'Customer and Supplier Returns'!$B$2:$B$12,"Customer return",'Customer and Supplier Returns'!$P$2:$P$12,"&lt;="&amp;DATE(2026,8,31))-SUMIFS('Customer Invoices and Payments'!$F$91:$F$152,'Customer Invoices and Payments'!$B$91:$B$152,"&lt;="&amp;DATE(2026,8,31))</f>
        <v>29421038.92</v>
      </c>
      <c r="O5" s="7" t="n">
        <f aca="false">SUMIFS('Vendor Bills and Payments'!$K$4:$K$31,'Vendor Bills and Payments'!$B$4:$B$31,"&lt;="&amp;DATE(2026,8,31))-SUMIFS('Customer and Supplier Returns'!$S$2:$S$12,'Customer and Supplier Returns'!$B$2:$B$12,"Supplier return",'Customer and Supplier Returns'!$P$2:$P$12,"&lt;="&amp;DATE(2026,8,31))-SUMIFS('Vendor Bills and Payments'!$F$37:$F$54,'Vendor Bills and Payments'!$B$37:$B$54,"&lt;="&amp;DATE(2026,8,31))</f>
        <v>22917625.2</v>
      </c>
      <c r="P5" s="7" t="n">
        <v>23506735</v>
      </c>
      <c r="Q5" s="5" t="n">
        <v>18</v>
      </c>
      <c r="R5" s="5" t="n">
        <v>6</v>
      </c>
    </row>
    <row r="6" customFormat="false" ht="15" hidden="false" customHeight="false" outlineLevel="0" collapsed="false">
      <c r="A6" s="5" t="s">
        <v>401</v>
      </c>
      <c r="B6" s="5" t="s">
        <v>1383</v>
      </c>
      <c r="C6" s="7" t="n">
        <f aca="false">SUMIFS('Customer Invoices and Payments'!$G$4:$G$85,'Customer Invoices and Payments'!$C$4:$C$85,A6)</f>
        <v>2277452.4</v>
      </c>
      <c r="D6" s="7" t="n">
        <f aca="false">SUMIFS('Customer Invoices and Payments'!$H$4:$H$85,'Customer Invoices and Payments'!$C$4:$C$85,A6)</f>
        <v>318843.34</v>
      </c>
      <c r="E6" s="7" t="n">
        <f aca="false">SUMIFS('Customer and Supplier Returns'!$Q$2:$Q$12,'Customer and Supplier Returns'!$B$2:$B$12,"Customer return",'Customer and Supplier Returns'!$P$2:$P$12,"&gt;="&amp;DATE(2026,9,1),'Customer and Supplier Returns'!$P$2:$P$12,"&lt;="&amp;DATE(2026,9,30))</f>
        <v>809950</v>
      </c>
      <c r="F6" s="7" t="n">
        <f aca="false">C6-E6</f>
        <v>1467502.4</v>
      </c>
      <c r="G6" s="7" t="n">
        <v>1109823</v>
      </c>
      <c r="H6" s="7" t="n">
        <f aca="false">F6-G6</f>
        <v>357679.4</v>
      </c>
      <c r="I6" s="9" t="n">
        <f aca="false">IF(F6=0,0,H6/F6)</f>
        <v>0.243733434439358</v>
      </c>
      <c r="J6" s="7" t="n">
        <f aca="false">SUMIFS('Vendor Bills and Payments'!$I$4:$I$31,'Vendor Bills and Payments'!$C$4:$C$31,A6)</f>
        <v>2058236</v>
      </c>
      <c r="K6" s="7" t="n">
        <f aca="false">SUMIFS('Vendor Bills and Payments'!$J$4:$J$31,'Vendor Bills and Payments'!$C$4:$C$31,A6)</f>
        <v>288153.04</v>
      </c>
      <c r="L6" s="7" t="n">
        <f aca="false">SUMIFS('Customer Invoices and Payments'!$F$91:$F$152,'Customer Invoices and Payments'!$B$91:$B$152,"&gt;="&amp;DATE(2026,9,1),'Customer Invoices and Payments'!$B$91:$B$152,"&lt;="&amp;DATE(2026,9,30))</f>
        <v>1561918.24</v>
      </c>
      <c r="M6" s="7" t="n">
        <f aca="false">SUMIFS('Vendor Bills and Payments'!$F$37:$F$54,'Vendor Bills and Payments'!$B$37:$B$54,"&gt;="&amp;DATE(2026,9,1),'Vendor Bills and Payments'!$B$37:$B$54,"&lt;="&amp;DATE(2026,9,30))</f>
        <v>22601275.2</v>
      </c>
      <c r="N6" s="7" t="n">
        <f aca="false">SUMIFS('Customer Invoices and Payments'!$I$4:$I$85,'Customer Invoices and Payments'!$B$4:$B$85,"&lt;="&amp;DATE(2026,9,30))-SUMIFS('Customer and Supplier Returns'!$S$2:$S$12,'Customer and Supplier Returns'!$B$2:$B$12,"Customer return",'Customer and Supplier Returns'!$P$2:$P$12,"&lt;="&amp;DATE(2026,9,30))-SUMIFS('Customer Invoices and Payments'!$F$91:$F$152,'Customer Invoices and Payments'!$B$91:$B$152,"&lt;="&amp;DATE(2026,9,30))</f>
        <v>29532073.42</v>
      </c>
      <c r="O6" s="7" t="n">
        <f aca="false">SUMIFS('Vendor Bills and Payments'!$K$4:$K$31,'Vendor Bills and Payments'!$B$4:$B$31,"&lt;="&amp;DATE(2026,9,30))-SUMIFS('Customer and Supplier Returns'!$S$2:$S$12,'Customer and Supplier Returns'!$B$2:$B$12,"Supplier return",'Customer and Supplier Returns'!$P$2:$P$12,"&lt;="&amp;DATE(2026,9,30))-SUMIFS('Vendor Bills and Payments'!$F$37:$F$54,'Vendor Bills and Payments'!$B$37:$B$54,"&lt;="&amp;DATE(2026,9,30))</f>
        <v>2662739.04</v>
      </c>
      <c r="P6" s="7" t="n">
        <v>24536323</v>
      </c>
      <c r="Q6" s="5" t="n">
        <v>18</v>
      </c>
      <c r="R6" s="5" t="n">
        <v>5</v>
      </c>
    </row>
    <row r="7" customFormat="false" ht="15" hidden="false" customHeight="false" outlineLevel="0" collapsed="false">
      <c r="B7" s="14" t="s">
        <v>1384</v>
      </c>
      <c r="C7" s="15" t="n">
        <f aca="false">SUM(C2:C6)</f>
        <v>31077427.94</v>
      </c>
      <c r="D7" s="15" t="n">
        <f aca="false">SUM(D2:D6)</f>
        <v>4350839.92</v>
      </c>
      <c r="E7" s="15" t="n">
        <f aca="false">SUM(E2:E6)</f>
        <v>844195.7</v>
      </c>
      <c r="F7" s="15" t="n">
        <f aca="false">SUM(F2:F6)</f>
        <v>30233232.24</v>
      </c>
      <c r="G7" s="15" t="n">
        <f aca="false">SUM(G2:G6)</f>
        <v>23902966</v>
      </c>
      <c r="H7" s="15" t="n">
        <f aca="false">SUM(H2:H6)</f>
        <v>6330266.24</v>
      </c>
      <c r="I7" s="16" t="n">
        <f aca="false">IF(F7=0,0,H7/F7)</f>
        <v>0.209381060871975</v>
      </c>
      <c r="J7" s="15" t="n">
        <f aca="false">SUM(J2:J6)</f>
        <v>24579359</v>
      </c>
      <c r="K7" s="15" t="n">
        <f aca="false">SUM(K2:K6)</f>
        <v>3441110.26</v>
      </c>
      <c r="L7" s="15" t="n">
        <f aca="false">SUM(L2:L6)</f>
        <v>4933811.34</v>
      </c>
      <c r="M7" s="15" t="n">
        <f aca="false">SUM(M2:M6)</f>
        <v>25322247.72</v>
      </c>
    </row>
    <row r="9" customFormat="false" ht="15" hidden="false" customHeight="false" outlineLevel="0" collapsed="false">
      <c r="B9" s="14" t="s">
        <v>1385</v>
      </c>
    </row>
    <row r="10" customFormat="false" ht="15" hidden="false" customHeight="false" outlineLevel="0" collapsed="false">
      <c r="B10" s="0" t="s">
        <v>1386</v>
      </c>
    </row>
    <row r="11" customFormat="false" ht="15" hidden="false" customHeight="false" outlineLevel="0" collapsed="false">
      <c r="B11" s="0" t="s">
        <v>1387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0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48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11" t="s">
        <v>1388</v>
      </c>
    </row>
    <row r="2" customFormat="false" ht="15" hidden="false" customHeight="false" outlineLevel="0" collapsed="false">
      <c r="A2" s="12" t="s">
        <v>1389</v>
      </c>
    </row>
    <row r="3" customFormat="false" ht="31.5" hidden="false" customHeight="true" outlineLevel="0" collapsed="false">
      <c r="A3" s="4" t="s">
        <v>1390</v>
      </c>
      <c r="B3" s="4" t="s">
        <v>1391</v>
      </c>
      <c r="C3" s="4" t="s">
        <v>1392</v>
      </c>
      <c r="D3" s="4" t="s">
        <v>1393</v>
      </c>
      <c r="E3" s="4" t="s">
        <v>1394</v>
      </c>
      <c r="F3" s="4" t="s">
        <v>1395</v>
      </c>
      <c r="G3" s="4" t="s">
        <v>469</v>
      </c>
      <c r="H3" s="4" t="s">
        <v>1396</v>
      </c>
    </row>
    <row r="4" customFormat="false" ht="15" hidden="false" customHeight="false" outlineLevel="0" collapsed="false">
      <c r="A4" s="5" t="s">
        <v>1397</v>
      </c>
      <c r="B4" s="5" t="s">
        <v>1398</v>
      </c>
      <c r="C4" s="7" t="n">
        <f aca="false">SUM('Sales Order Lines'!$F$2:$F$207)</f>
        <v>17011</v>
      </c>
      <c r="D4" s="7" t="n">
        <f aca="false">SUMIFS('Delivery and Receipt Records'!$I$2:$I$231,'Delivery and Receipt Records'!$B$2:$B$231,"Delivery")</f>
        <v>17011</v>
      </c>
      <c r="E4" s="7" t="n">
        <f aca="false">ROUND(C4-D4,2)</f>
        <v>0</v>
      </c>
      <c r="F4" s="5" t="str">
        <f aca="false">IF(E4=0,"PASS","CHECK")</f>
        <v>PASS</v>
      </c>
      <c r="G4" s="5" t="s">
        <v>1399</v>
      </c>
      <c r="H4" s="5" t="s">
        <v>1400</v>
      </c>
    </row>
    <row r="5" customFormat="false" ht="15" hidden="false" customHeight="false" outlineLevel="0" collapsed="false">
      <c r="A5" s="5" t="s">
        <v>1401</v>
      </c>
      <c r="B5" s="5" t="s">
        <v>1402</v>
      </c>
      <c r="C5" s="7" t="n">
        <f aca="false">SUM('Sales Order Lines'!$G$2:$G$207)</f>
        <v>16333</v>
      </c>
      <c r="D5" s="7" t="n">
        <f aca="false">SUM('Sales Order Lines'!$F$2:$F$207)</f>
        <v>17011</v>
      </c>
      <c r="E5" s="7" t="n">
        <f aca="false">ROUND(C5-D5,2)</f>
        <v>-678</v>
      </c>
      <c r="F5" s="5" t="str">
        <f aca="false">IF(E5=0,"PASS","EXPLAINED - see note")</f>
        <v>EXPLAINED - see note</v>
      </c>
      <c r="G5" s="5" t="s">
        <v>1399</v>
      </c>
      <c r="H5" s="5" t="s">
        <v>1403</v>
      </c>
    </row>
    <row r="6" customFormat="false" ht="15" hidden="false" customHeight="false" outlineLevel="0" collapsed="false">
      <c r="A6" s="5" t="s">
        <v>1404</v>
      </c>
      <c r="B6" s="5" t="s">
        <v>1405</v>
      </c>
      <c r="C6" s="7" t="n">
        <f aca="false">SUM('Purchase Order Lines'!$F$2:$F$31)</f>
        <v>16087</v>
      </c>
      <c r="D6" s="7" t="n">
        <f aca="false">SUMIFS('Delivery and Receipt Records'!$I$2:$I$231,'Delivery and Receipt Records'!$B$2:$B$231,"Receipt")</f>
        <v>16087</v>
      </c>
      <c r="E6" s="7" t="n">
        <f aca="false">ROUND(C6-D6,2)</f>
        <v>0</v>
      </c>
      <c r="F6" s="5" t="str">
        <f aca="false">IF(E6=0,"PASS","CHECK")</f>
        <v>PASS</v>
      </c>
      <c r="G6" s="5" t="s">
        <v>1399</v>
      </c>
      <c r="H6" s="5" t="s">
        <v>1406</v>
      </c>
    </row>
    <row r="7" customFormat="false" ht="15" hidden="false" customHeight="false" outlineLevel="0" collapsed="false">
      <c r="A7" s="5" t="s">
        <v>1407</v>
      </c>
      <c r="B7" s="5" t="s">
        <v>1408</v>
      </c>
      <c r="C7" s="7" t="n">
        <f aca="false">SUM('Customer Invoices and Payments'!$I$4:$I$85)</f>
        <v>35428267.86</v>
      </c>
      <c r="D7" s="7" t="n">
        <f aca="false">SUM('Customer Invoices and Payments'!$G$4:$G$85)+SUM('Customer Invoices and Payments'!$H$4:$H$85)</f>
        <v>35428267.86</v>
      </c>
      <c r="E7" s="7" t="n">
        <f aca="false">ROUND(C7-D7,2)</f>
        <v>0</v>
      </c>
      <c r="F7" s="5" t="str">
        <f aca="false">IF(E7=0,"PASS","CHECK")</f>
        <v>PASS</v>
      </c>
      <c r="G7" s="5" t="s">
        <v>1409</v>
      </c>
      <c r="H7" s="5" t="s">
        <v>1410</v>
      </c>
    </row>
    <row r="8" customFormat="false" ht="15" hidden="false" customHeight="false" outlineLevel="0" collapsed="false">
      <c r="A8" s="5" t="s">
        <v>1411</v>
      </c>
      <c r="B8" s="5" t="s">
        <v>1412</v>
      </c>
      <c r="C8" s="7" t="n">
        <f aca="false">SUM('Customer Invoices and Payments'!$G$4:$G$85)</f>
        <v>31077427.94</v>
      </c>
      <c r="D8" s="7" t="n">
        <f aca="false">SUMPRODUCT('Sales Order Lines'!$G$2:$G$207,'Sales Order Lines'!$I$2:$I$207)</f>
        <v>31077427.94</v>
      </c>
      <c r="E8" s="7" t="n">
        <f aca="false">ROUND(C8-D8,2)</f>
        <v>0</v>
      </c>
      <c r="F8" s="5" t="str">
        <f aca="false">IF(E8=0,"PASS","CHECK")</f>
        <v>PASS</v>
      </c>
      <c r="G8" s="5" t="s">
        <v>1409</v>
      </c>
      <c r="H8" s="5" t="s">
        <v>1413</v>
      </c>
    </row>
    <row r="9" customFormat="false" ht="15" hidden="false" customHeight="false" outlineLevel="0" collapsed="false">
      <c r="A9" s="5" t="s">
        <v>1414</v>
      </c>
      <c r="B9" s="5" t="s">
        <v>1415</v>
      </c>
      <c r="C9" s="7" t="n">
        <f aca="false">SUM('Customer Invoices and Payments'!$I$4:$I$85)-SUMIFS('Customer and Supplier Returns'!$S$2:$S$12,'Customer and Supplier Returns'!$B$2:$B$12,"Customer return")-SUM('Customer Invoices and Payments'!$F$91:$F$152)</f>
        <v>29532073.42</v>
      </c>
      <c r="D9" s="7" t="n">
        <f aca="false">SUM('Customer Invoices and Payments'!$M$4:$M$85)</f>
        <v>29532073.42</v>
      </c>
      <c r="E9" s="7" t="n">
        <f aca="false">ROUND(C9-D9,2)</f>
        <v>0</v>
      </c>
      <c r="F9" s="5" t="str">
        <f aca="false">IF(E9=0,"PASS","CHECK")</f>
        <v>PASS</v>
      </c>
      <c r="G9" s="5" t="s">
        <v>1409</v>
      </c>
      <c r="H9" s="5" t="s">
        <v>1416</v>
      </c>
    </row>
    <row r="10" customFormat="false" ht="15" hidden="false" customHeight="false" outlineLevel="0" collapsed="false">
      <c r="A10" s="5" t="s">
        <v>1417</v>
      </c>
      <c r="B10" s="5" t="s">
        <v>1418</v>
      </c>
      <c r="C10" s="7" t="n">
        <f aca="false">SUM('Customer Invoices and Payments'!$M$4:$M$85)</f>
        <v>29532073.42</v>
      </c>
      <c r="D10" s="7" t="n">
        <v>29532073.42</v>
      </c>
      <c r="E10" s="7" t="n">
        <f aca="false">ROUND(C10-D10,2)</f>
        <v>0</v>
      </c>
      <c r="F10" s="5" t="str">
        <f aca="false">IF(E10=0,"PASS","CHECK")</f>
        <v>PASS</v>
      </c>
      <c r="G10" s="5" t="s">
        <v>1409</v>
      </c>
      <c r="H10" s="5" t="s">
        <v>1419</v>
      </c>
    </row>
    <row r="11" customFormat="false" ht="15" hidden="false" customHeight="false" outlineLevel="0" collapsed="false">
      <c r="A11" s="5" t="s">
        <v>1420</v>
      </c>
      <c r="B11" s="5" t="s">
        <v>1421</v>
      </c>
      <c r="C11" s="7" t="n">
        <f aca="false">SUM('Vendor Bills and Payments'!$K$4:$K$31)-SUMIFS('Customer and Supplier Returns'!$S$2:$S$12,'Customer and Supplier Returns'!$B$2:$B$12,"Supplier return")-SUM('Vendor Bills and Payments'!$F$37:$F$54)</f>
        <v>2662739.04</v>
      </c>
      <c r="D11" s="7" t="n">
        <f aca="false">SUM('Vendor Bills and Payments'!$O$4:$O$31)</f>
        <v>2662739.04</v>
      </c>
      <c r="E11" s="7" t="n">
        <f aca="false">ROUND(C11-D11,2)</f>
        <v>0</v>
      </c>
      <c r="F11" s="5" t="str">
        <f aca="false">IF(E11=0,"PASS","CHECK")</f>
        <v>PASS</v>
      </c>
      <c r="G11" s="5" t="s">
        <v>1409</v>
      </c>
      <c r="H11" s="5" t="s">
        <v>1422</v>
      </c>
    </row>
    <row r="12" customFormat="false" ht="15" hidden="false" customHeight="false" outlineLevel="0" collapsed="false">
      <c r="A12" s="5" t="s">
        <v>1423</v>
      </c>
      <c r="B12" s="5" t="s">
        <v>1424</v>
      </c>
      <c r="C12" s="7" t="n">
        <f aca="false">SUM('Vendor Bills and Payments'!$O$4:$O$31)</f>
        <v>2662739.04</v>
      </c>
      <c r="D12" s="7" t="n">
        <v>2662739.04</v>
      </c>
      <c r="E12" s="7" t="n">
        <f aca="false">ROUND(C12-D12,2)</f>
        <v>0</v>
      </c>
      <c r="F12" s="5" t="str">
        <f aca="false">IF(E12=0,"PASS","CHECK")</f>
        <v>PASS</v>
      </c>
      <c r="G12" s="5" t="s">
        <v>1409</v>
      </c>
      <c r="H12" s="5" t="s">
        <v>1419</v>
      </c>
    </row>
    <row r="13" customFormat="false" ht="15" hidden="false" customHeight="false" outlineLevel="0" collapsed="false">
      <c r="A13" s="5" t="s">
        <v>1425</v>
      </c>
      <c r="B13" s="5" t="s">
        <v>1426</v>
      </c>
      <c r="C13" s="7" t="n">
        <f aca="false">SUM('Customer Invoices and Payments'!$H$4:$H$85)-SUMIFS('Customer and Supplier Returns'!$R$2:$R$12,'Customer and Supplier Returns'!$B$2:$B$12,"Customer return")</f>
        <v>4232652.52</v>
      </c>
      <c r="D13" s="7" t="n">
        <v>4232652.52</v>
      </c>
      <c r="E13" s="7" t="n">
        <f aca="false">ROUND(C13-D13,2)</f>
        <v>0</v>
      </c>
      <c r="F13" s="5" t="str">
        <f aca="false">IF(E13=0,"PASS","CHECK")</f>
        <v>PASS</v>
      </c>
      <c r="G13" s="5" t="s">
        <v>1409</v>
      </c>
      <c r="H13" s="5" t="s">
        <v>1427</v>
      </c>
    </row>
    <row r="14" customFormat="false" ht="15" hidden="false" customHeight="false" outlineLevel="0" collapsed="false">
      <c r="A14" s="5" t="s">
        <v>1428</v>
      </c>
      <c r="B14" s="5" t="s">
        <v>1429</v>
      </c>
      <c r="C14" s="7" t="n">
        <f aca="false">SUM('Vendor Bills and Payments'!$J$4:$J$31)-SUMIFS('Customer and Supplier Returns'!$R$2:$R$12,'Customer and Supplier Returns'!$B$2:$B$12,"Supplier return")</f>
        <v>3436752.76</v>
      </c>
      <c r="D14" s="7" t="n">
        <v>3436752.76</v>
      </c>
      <c r="E14" s="7" t="n">
        <f aca="false">ROUND(C14-D14,2)</f>
        <v>0</v>
      </c>
      <c r="F14" s="5" t="str">
        <f aca="false">IF(E14=0,"PASS","CHECK")</f>
        <v>PASS</v>
      </c>
      <c r="G14" s="5" t="s">
        <v>1409</v>
      </c>
      <c r="H14" s="5" t="s">
        <v>1427</v>
      </c>
    </row>
    <row r="15" customFormat="false" ht="15" hidden="false" customHeight="false" outlineLevel="0" collapsed="false">
      <c r="A15" s="5" t="s">
        <v>1430</v>
      </c>
      <c r="B15" s="5" t="s">
        <v>1431</v>
      </c>
      <c r="C15" s="7" t="n">
        <f aca="false">SUMPRODUCT(('Customer Master'!$M$2:$M$14&gt;'Customer Master'!$I$2:$I$14)*('Customer Master'!$I$2:$I$14&gt;0))</f>
        <v>0</v>
      </c>
      <c r="D15" s="7" t="n">
        <v>0</v>
      </c>
      <c r="E15" s="7" t="n">
        <f aca="false">ROUND(C15-D15,2)</f>
        <v>0</v>
      </c>
      <c r="F15" s="5" t="str">
        <f aca="false">IF(E15=0,"PASS","CHECK")</f>
        <v>PASS</v>
      </c>
      <c r="G15" s="5" t="s">
        <v>1432</v>
      </c>
      <c r="H15" s="5" t="s">
        <v>1433</v>
      </c>
    </row>
    <row r="16" customFormat="false" ht="15" hidden="false" customHeight="false" outlineLevel="0" collapsed="false">
      <c r="A16" s="5" t="s">
        <v>1434</v>
      </c>
      <c r="B16" s="5" t="s">
        <v>1435</v>
      </c>
      <c r="C16" s="7" t="n">
        <f aca="false">COUNTIF('CRM Pipeline'!$H$4:$H$89,"Won")</f>
        <v>62</v>
      </c>
      <c r="D16" s="7" t="n">
        <f aca="false">COUNTIF('Sales Orders'!$D$2:$D$88,"&lt;&gt;CUS-013")</f>
        <v>62</v>
      </c>
      <c r="E16" s="7" t="n">
        <f aca="false">ROUND(C16-D16,2)</f>
        <v>0</v>
      </c>
      <c r="F16" s="5" t="str">
        <f aca="false">IF(E16=0,"PASS","CHECK")</f>
        <v>PASS</v>
      </c>
      <c r="G16" s="5" t="s">
        <v>1432</v>
      </c>
      <c r="H16" s="5" t="s">
        <v>1436</v>
      </c>
    </row>
    <row r="17" customFormat="false" ht="15" hidden="false" customHeight="false" outlineLevel="0" collapsed="false">
      <c r="A17" s="5" t="s">
        <v>1437</v>
      </c>
      <c r="B17" s="5" t="s">
        <v>1438</v>
      </c>
      <c r="C17" s="7" t="n">
        <f aca="false">SUMPRODUCT(COUNTIF('Sales Orders'!$A$2:$A$88,'CRM Pipeline'!$O$4:$O$89))</f>
        <v>62</v>
      </c>
      <c r="D17" s="7" t="n">
        <f aca="false">COUNTIF('CRM Pipeline'!$H$4:$H$89,"Won")</f>
        <v>62</v>
      </c>
      <c r="E17" s="7" t="n">
        <f aca="false">ROUND(C17-D17,2)</f>
        <v>0</v>
      </c>
      <c r="F17" s="5" t="str">
        <f aca="false">IF(E17=0,"PASS","CHECK")</f>
        <v>PASS</v>
      </c>
      <c r="G17" s="5" t="s">
        <v>1432</v>
      </c>
      <c r="H17" s="5" t="s">
        <v>1439</v>
      </c>
    </row>
    <row r="20" customFormat="false" ht="15" hidden="false" customHeight="false" outlineLevel="0" collapsed="false">
      <c r="A20" s="11" t="s">
        <v>1440</v>
      </c>
    </row>
    <row r="21" customFormat="false" ht="31.5" hidden="false" customHeight="true" outlineLevel="0" collapsed="false">
      <c r="A21" s="4" t="s">
        <v>1441</v>
      </c>
      <c r="B21" s="4" t="s">
        <v>1442</v>
      </c>
      <c r="C21" s="4" t="s">
        <v>1443</v>
      </c>
      <c r="D21" s="4" t="s">
        <v>1444</v>
      </c>
      <c r="E21" s="4" t="s">
        <v>1445</v>
      </c>
    </row>
    <row r="22" customFormat="false" ht="15" hidden="false" customHeight="false" outlineLevel="0" collapsed="false">
      <c r="A22" s="5" t="s">
        <v>1446</v>
      </c>
      <c r="B22" s="5" t="s">
        <v>435</v>
      </c>
      <c r="C22" s="10" t="n">
        <v>46296</v>
      </c>
      <c r="D22" s="7" t="n">
        <v>107433.6</v>
      </c>
      <c r="E22" s="5" t="s">
        <v>1447</v>
      </c>
    </row>
    <row r="23" customFormat="false" ht="15" hidden="false" customHeight="false" outlineLevel="0" collapsed="false">
      <c r="A23" s="5" t="s">
        <v>1448</v>
      </c>
      <c r="B23" s="5" t="s">
        <v>443</v>
      </c>
      <c r="C23" s="10" t="n">
        <v>46299</v>
      </c>
      <c r="D23" s="7" t="n">
        <v>148297.13</v>
      </c>
      <c r="E23" s="5" t="s">
        <v>1447</v>
      </c>
    </row>
    <row r="27" customFormat="false" ht="15" hidden="false" customHeight="false" outlineLevel="0" collapsed="false">
      <c r="A27" s="11" t="s">
        <v>1449</v>
      </c>
    </row>
    <row r="28" customFormat="false" ht="31.5" hidden="false" customHeight="true" outlineLevel="0" collapsed="false">
      <c r="A28" s="4" t="s">
        <v>1450</v>
      </c>
      <c r="B28" s="4" t="s">
        <v>735</v>
      </c>
    </row>
    <row r="29" customFormat="false" ht="15" hidden="false" customHeight="false" outlineLevel="0" collapsed="false">
      <c r="A29" s="5" t="s">
        <v>1451</v>
      </c>
      <c r="B29" s="7" t="n">
        <v>30233232.24</v>
      </c>
    </row>
    <row r="30" customFormat="false" ht="15" hidden="false" customHeight="false" outlineLevel="0" collapsed="false">
      <c r="A30" s="5" t="s">
        <v>1452</v>
      </c>
      <c r="B30" s="7" t="n">
        <v>23902966</v>
      </c>
    </row>
    <row r="31" customFormat="false" ht="15" hidden="false" customHeight="false" outlineLevel="0" collapsed="false">
      <c r="A31" s="5" t="s">
        <v>1453</v>
      </c>
      <c r="B31" s="7" t="n">
        <v>6405</v>
      </c>
    </row>
    <row r="32" customFormat="false" ht="15" hidden="false" customHeight="false" outlineLevel="0" collapsed="false">
      <c r="A32" s="5" t="s">
        <v>1454</v>
      </c>
      <c r="B32" s="7" t="n">
        <v>46000</v>
      </c>
    </row>
    <row r="33" customFormat="false" ht="15" hidden="false" customHeight="false" outlineLevel="0" collapsed="false">
      <c r="A33" s="5" t="s">
        <v>1455</v>
      </c>
      <c r="B33" s="7" t="n">
        <v>55795</v>
      </c>
    </row>
    <row r="34" customFormat="false" ht="15" hidden="false" customHeight="false" outlineLevel="0" collapsed="false">
      <c r="A34" s="5" t="s">
        <v>1456</v>
      </c>
      <c r="B34" s="7" t="n">
        <v>24536323</v>
      </c>
    </row>
    <row r="35" customFormat="false" ht="15" hidden="false" customHeight="false" outlineLevel="0" collapsed="false">
      <c r="A35" s="5" t="s">
        <v>1457</v>
      </c>
      <c r="B35" s="7" t="n">
        <v>0</v>
      </c>
    </row>
    <row r="36" customFormat="false" ht="15" hidden="false" customHeight="false" outlineLevel="0" collapsed="false">
      <c r="A36" s="5" t="s">
        <v>1458</v>
      </c>
      <c r="B36" s="7" t="n">
        <v>170945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2026-10-29T08:32:42Z</dcterms:created>
  <dc:creator>openpyxl</dc:creator>
  <dc:description/>
  <dc:language>en-US</dc:language>
  <cp:lastModifiedBy/>
  <dcterms:modified xsi:type="dcterms:W3CDTF">2026-10-29T08:32:43Z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