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hammed\Desktop\RedLine_Odoo_Graduation_Project\2. Project Preparations Documents\"/>
    </mc:Choice>
  </mc:AlternateContent>
  <xr:revisionPtr revIDLastSave="0" documentId="13_ncr:1_{C4A7EB7B-EA90-4F8E-9708-DDA7C982B47D}" xr6:coauthVersionLast="47" xr6:coauthVersionMax="47" xr10:uidLastSave="{00000000-0000-0000-0000-000000000000}"/>
  <bookViews>
    <workbookView xWindow="-120" yWindow="-120" windowWidth="29040" windowHeight="15840" tabRatio="500" firstSheet="3" activeTab="7" xr2:uid="{00000000-000D-0000-FFFF-FFFF00000000}"/>
  </bookViews>
  <sheets>
    <sheet name="README" sheetId="1" r:id="rId1"/>
    <sheet name="Team Register" sheetId="2" r:id="rId2"/>
    <sheet name="Roles and Responsibilities" sheetId="3" r:id="rId3"/>
    <sheet name="Task List" sheetId="4" r:id="rId4"/>
    <sheet name="Deliverable Register" sheetId="5" r:id="rId5"/>
    <sheet name="Milestones" sheetId="6" r:id="rId6"/>
    <sheet name="Module Responsibility Matrix" sheetId="7" r:id="rId7"/>
    <sheet name="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8" l="1"/>
  <c r="B11" i="8"/>
  <c r="D9" i="8"/>
  <c r="B13" i="8" s="1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F9" i="8" s="1"/>
  <c r="E4" i="8"/>
  <c r="E9" i="8" s="1"/>
  <c r="D4" i="8"/>
  <c r="C4" i="8"/>
  <c r="C9" i="8" s="1"/>
  <c r="B4" i="8"/>
  <c r="B9" i="8" s="1"/>
</calcChain>
</file>

<file path=xl/sharedStrings.xml><?xml version="1.0" encoding="utf-8"?>
<sst xmlns="http://schemas.openxmlformats.org/spreadsheetml/2006/main" count="923" uniqueCount="505">
  <si>
    <t>RedLine Medical — Project Team and Roles</t>
  </si>
  <si>
    <t>Project</t>
  </si>
  <si>
    <t>RedLine Medical Supplies &amp; Equipment Trading — Odoo ERP Graduation Project</t>
  </si>
  <si>
    <t>Project window (simulated)</t>
  </si>
  <si>
    <t>2026-10-01 to 2026-10-20</t>
  </si>
  <si>
    <t>Business reporting period</t>
  </si>
  <si>
    <t>1 May 2026 – 30 September 2026</t>
  </si>
  <si>
    <t>Document date</t>
  </si>
  <si>
    <t>2026-10-25</t>
  </si>
  <si>
    <t>Status basis</t>
  </si>
  <si>
    <t>All 38 documentation/design/data-preparation tasks are shown at 100% as the project register for this graduation simulation. 100% means the documented deliverable exists; it does NOT mean the solution has been installed or tested on a live Odoo server.</t>
  </si>
  <si>
    <t>Formulas</t>
  </si>
  <si>
    <t>Summary sheet figures are computed with COUNTIFS/AVERAGEIFS from the Task List.</t>
  </si>
  <si>
    <t>Sheets</t>
  </si>
  <si>
    <t>Team Register · Roles and Responsibilities · Task List · Deliverable Register · Milestones · Summary (variant B adds Module Responsibility Matrix)</t>
  </si>
  <si>
    <t>Member ID</t>
  </si>
  <si>
    <t>Name</t>
  </si>
  <si>
    <t>Role</t>
  </si>
  <si>
    <t>Primary Responsibilities</t>
  </si>
  <si>
    <t>Team</t>
  </si>
  <si>
    <t>Note</t>
  </si>
  <si>
    <t>TM-01</t>
  </si>
  <si>
    <t>Mohamed Mahmoud Abdel Bary</t>
  </si>
  <si>
    <t>Team Leader - Apps, Settings, Permissions &amp; Design</t>
  </si>
  <si>
    <t>App installation, general settings, companies and branches; Users, access rights, record rules and approval workflows (permissions); Solution design, GAWF, SSD and final integration of all documents; Project governance, presentation and final review</t>
  </si>
  <si>
    <t>Core project team</t>
  </si>
  <si>
    <t>Simulated project member</t>
  </si>
  <si>
    <t>TM-02</t>
  </si>
  <si>
    <t>Mohamed Essam El-Din Youssef</t>
  </si>
  <si>
    <t>Sales &amp; CRM</t>
  </si>
  <si>
    <t>Sales and CRM configuration: pipeline, quotations, pricelists, sales teams; Customer master data and contract pricing (preparing and uploading files); BRD, RTM and business process documentation; Sales and CRM test scenarios and business acceptance</t>
  </si>
  <si>
    <t>TM-03</t>
  </si>
  <si>
    <t>Ahmed Mahmoud Mohamed</t>
  </si>
  <si>
    <t>Inventory &amp; Data Upload</t>
  </si>
  <si>
    <t>Inventory configuration: warehouses, locations, routes, lots, serials, expiry, FEFO; Product master, opening stock and reordering rules; Data upload: preparing and importing all CSV files and data quality checks; Technical proposal, go-live plan and package validation</t>
  </si>
  <si>
    <t>TM-04</t>
  </si>
  <si>
    <t>Fathy Adel Fathy</t>
  </si>
  <si>
    <t>Purchase, Quality &amp; Testing</t>
  </si>
  <si>
    <t>Purchase configuration: vendors, RFQ and PO, approvals, vendor pricelists; Quality inspection, receipts follow-up and supplier returns; UAT execution, defect log and test documentation; User's guide, training and final quality assurance</t>
  </si>
  <si>
    <t>TM-05</t>
  </si>
  <si>
    <t>Omnia Haitham</t>
  </si>
  <si>
    <t>Accounting &amp; Finance</t>
  </si>
  <si>
    <t>Accounting configuration: chart of accounts, journals, taxes, payment terms; Invoices, bills, payments, credit notes, bank and cash; Opening balances, stock valuation and financial reconciliations; Financial proposal (FPD) and accounting test scenarios</t>
  </si>
  <si>
    <t>Resp. ID</t>
  </si>
  <si>
    <t>Responsibility</t>
  </si>
  <si>
    <t>RACI</t>
  </si>
  <si>
    <t>R1</t>
  </si>
  <si>
    <t>App installation, general settings, companies and branches</t>
  </si>
  <si>
    <t>Accountable owner</t>
  </si>
  <si>
    <t>R2</t>
  </si>
  <si>
    <t>Users, access rights, record rules and approval workflows (permissions)</t>
  </si>
  <si>
    <t>R3</t>
  </si>
  <si>
    <t>Solution design, GAWF, SSD and final integration of all documents</t>
  </si>
  <si>
    <t>R4</t>
  </si>
  <si>
    <t>Project governance, presentation and final review</t>
  </si>
  <si>
    <t>Sales and CRM configuration: pipeline, quotations, pricelists, sales teams</t>
  </si>
  <si>
    <t>Customer master data and contract pricing (preparing and uploading files)</t>
  </si>
  <si>
    <t>BRD, RTM and business process documentation</t>
  </si>
  <si>
    <t>Sales and CRM test scenarios and business acceptance</t>
  </si>
  <si>
    <t>Inventory configuration: warehouses, locations, routes, lots, serials, expiry, FEFO</t>
  </si>
  <si>
    <t>Product master, opening stock and reordering rules</t>
  </si>
  <si>
    <t>Data upload: preparing and importing all CSV files and data quality checks</t>
  </si>
  <si>
    <t>Technical proposal, go-live plan and package validation</t>
  </si>
  <si>
    <t>Purchase configuration: vendors, RFQ and PO, approvals, vendor pricelists</t>
  </si>
  <si>
    <t>Quality inspection, receipts follow-up and supplier returns</t>
  </si>
  <si>
    <t>UAT execution, defect log and test documentation</t>
  </si>
  <si>
    <t>User's guide, training and final quality assurance</t>
  </si>
  <si>
    <t>Accounting configuration: chart of accounts, journals, taxes, payment terms</t>
  </si>
  <si>
    <t>Invoices, bills, payments, credit notes, bank and cash</t>
  </si>
  <si>
    <t>Opening balances, stock valuation and financial reconciliations</t>
  </si>
  <si>
    <t>Financial proposal (FPD) and accounting test scenarios</t>
  </si>
  <si>
    <t>Task ID</t>
  </si>
  <si>
    <t>Phase</t>
  </si>
  <si>
    <t>Task</t>
  </si>
  <si>
    <t>Description</t>
  </si>
  <si>
    <t>Owner</t>
  </si>
  <si>
    <t>Start Date</t>
  </si>
  <si>
    <t>End Date</t>
  </si>
  <si>
    <t>Priority</t>
  </si>
  <si>
    <t>Deliverable</t>
  </si>
  <si>
    <t>Dependencies</t>
  </si>
  <si>
    <t>Status</t>
  </si>
  <si>
    <t>Progress %</t>
  </si>
  <si>
    <t>Acceptance Criteria</t>
  </si>
  <si>
    <t>T-001</t>
  </si>
  <si>
    <t>1 Initiation</t>
  </si>
  <si>
    <t>Project kick-off and charter</t>
  </si>
  <si>
    <t>Define scope, objectives, governance, branch/warehouse structure and success criteria.</t>
  </si>
  <si>
    <t>High</t>
  </si>
  <si>
    <t>Project charter (in SSD §1)</t>
  </si>
  <si>
    <t>Completed</t>
  </si>
  <si>
    <t>Charter approved by the team leader</t>
  </si>
  <si>
    <t>T-002</t>
  </si>
  <si>
    <t>Company profile and business context</t>
  </si>
  <si>
    <t>Compile bilingual company profile, branches, warehouse network, product categories and customers.</t>
  </si>
  <si>
    <t>Company_Profile.docx</t>
  </si>
  <si>
    <t>Profile reviewed; facts consistent with the charter</t>
  </si>
  <si>
    <t>T-003</t>
  </si>
  <si>
    <t>Project team, roles and task register</t>
  </si>
  <si>
    <t>Define five-member team, responsibilities, task register and milestones.</t>
  </si>
  <si>
    <t>Project_Team_and_Roles.xlsx</t>
  </si>
  <si>
    <t>Every deliverable has an accountable owner</t>
  </si>
  <si>
    <t>T-004</t>
  </si>
  <si>
    <t>Odoo version and edition assumptions</t>
  </si>
  <si>
    <t>Select version/edition, list standard vs Enterprise vs custom features.</t>
  </si>
  <si>
    <t>Assumptions (BDC §1, TPD §2)</t>
  </si>
  <si>
    <t>Version stated; unverified features flagged</t>
  </si>
  <si>
    <t>T-005</t>
  </si>
  <si>
    <t>2 Analysis</t>
  </si>
  <si>
    <t>Stakeholder analysis and interviews (simulated)</t>
  </si>
  <si>
    <t>Identify stakeholders, document as-is processes of the legacy/manual baseline.</t>
  </si>
  <si>
    <t>BRD §3-4</t>
  </si>
  <si>
    <t>Stakeholder register approved</t>
  </si>
  <si>
    <t>T-006</t>
  </si>
  <si>
    <t>As-is process documentation</t>
  </si>
  <si>
    <t>Document manual quotation, purchasing, receiving, stock-card, invoicing and collection processes.</t>
  </si>
  <si>
    <t>BRD §4; GAWF §3</t>
  </si>
  <si>
    <t>Processes validated with owners</t>
  </si>
  <si>
    <t>T-007</t>
  </si>
  <si>
    <t>Functional and non-functional requirements</t>
  </si>
  <si>
    <t>Write requirements with IDs, priorities, owners and acceptance criteria.</t>
  </si>
  <si>
    <t>BRD §6-8</t>
  </si>
  <si>
    <t>All requirements baselined</t>
  </si>
  <si>
    <t>T-008</t>
  </si>
  <si>
    <t>Business rules, roles and reporting requirements</t>
  </si>
  <si>
    <t>Capture rules for credit, FEFO, quarantine, approvals; define reports and KPIs.</t>
  </si>
  <si>
    <t>BRD §9-11</t>
  </si>
  <si>
    <t>Rules reviewed</t>
  </si>
  <si>
    <t>T-009</t>
  </si>
  <si>
    <t>Gap analysis and workflow documentation (GAWF)</t>
  </si>
  <si>
    <t>Compare manual baseline with proposed Odoo processes; propose solutions per gap.</t>
  </si>
  <si>
    <t>GAWF_Gap_Analysis.docx</t>
  </si>
  <si>
    <t>T-006, T-007</t>
  </si>
  <si>
    <t>Each gap has solution, owner, priority, validation</t>
  </si>
  <si>
    <t>T-010</t>
  </si>
  <si>
    <t>Requirements traceability matrix</t>
  </si>
  <si>
    <t>Map each requirement to process, module, feature class, owner and test case.</t>
  </si>
  <si>
    <t>RTM_Traceability_Matrix.xlsx</t>
  </si>
  <si>
    <t>Every requirement linked to a test case</t>
  </si>
  <si>
    <t>T-011</t>
  </si>
  <si>
    <t>3 Design</t>
  </si>
  <si>
    <t>Solution architecture and module selection</t>
  </si>
  <si>
    <t>Define modules, dependencies, single-company/multi-branch model, warehouse routes.</t>
  </si>
  <si>
    <t>SSD §2-4</t>
  </si>
  <si>
    <t>Architecture approved</t>
  </si>
  <si>
    <t>T-012</t>
  </si>
  <si>
    <t>Security model and approval workflows</t>
  </si>
  <si>
    <t>Define roles, groups, record-rule limitations, approval thresholds and audit trail.</t>
  </si>
  <si>
    <t>SSD §7</t>
  </si>
  <si>
    <t>Segregation of duties documented</t>
  </si>
  <si>
    <t>T-013</t>
  </si>
  <si>
    <t>Process diagrams (P2P, O2C, receipt, transfers, returns, close)</t>
  </si>
  <si>
    <t>Create workflow diagrams for six core processes.</t>
  </si>
  <si>
    <t>SSD §8</t>
  </si>
  <si>
    <t>Diagrams consistent with requirements</t>
  </si>
  <si>
    <t>T-014</t>
  </si>
  <si>
    <t>Solution Design Document (SSD)</t>
  </si>
  <si>
    <t>Assemble SSD with reporting design and migration strategy.</t>
  </si>
  <si>
    <t>SSD_Solution_Design.docx</t>
  </si>
  <si>
    <t>T-011, T-012, T-013</t>
  </si>
  <si>
    <t>SSD complete and reviewed</t>
  </si>
  <si>
    <t>T-015</t>
  </si>
  <si>
    <t>Technical proposal (TPD)</t>
  </si>
  <si>
    <t>Define technical scope, integration, custom module proposals, testing, deployment, maintenance.</t>
  </si>
  <si>
    <t>TPD_Technical_Proposal.docx</t>
  </si>
  <si>
    <t>Custom work clearly labelled as proposed</t>
  </si>
  <si>
    <t>T-016</t>
  </si>
  <si>
    <t>Financial proposal (FPD)</t>
  </si>
  <si>
    <t>Prepare illustrative EGP estimate with milestones, exclusions and VAT assumption.</t>
  </si>
  <si>
    <t>Medium</t>
  </si>
  <si>
    <t>FPD_Financial_Proposal.pdf</t>
  </si>
  <si>
    <t>Totals verified arithmetically</t>
  </si>
  <si>
    <t>T-017</t>
  </si>
  <si>
    <t>4 Data</t>
  </si>
  <si>
    <t>Organization, branches and warehouses setup design</t>
  </si>
  <si>
    <t>Design branch representation and four-warehouse structure with locations and routes.</t>
  </si>
  <si>
    <t>Organization_and_Accounting_Charts.xlsx (sheets 1-3)</t>
  </si>
  <si>
    <t>T-004, T-011</t>
  </si>
  <si>
    <t>Branches/warehouses consistent in all documents</t>
  </si>
  <si>
    <t>T-018</t>
  </si>
  <si>
    <t>Chart of accounts and journals design</t>
  </si>
  <si>
    <t>Design 101-account hierarchical chart, journals, bank/cash accounts.</t>
  </si>
  <si>
    <t>Organization_and_Accounting_Charts.xlsx (sheets 4-5)</t>
  </si>
  <si>
    <t>No duplicate codes; account types valid</t>
  </si>
  <si>
    <t>T-019</t>
  </si>
  <si>
    <t>Accounting configuration, tax and account mapping</t>
  </si>
  <si>
    <t>Define valuation, Anglo-Saxon, VAT 14% assumption and category-to-account mapping.</t>
  </si>
  <si>
    <t>Organization_and_Accounting_Charts.xlsx (sheets 6-9)</t>
  </si>
  <si>
    <t>Mapping reconciles with simulated journal entries</t>
  </si>
  <si>
    <t>T-020</t>
  </si>
  <si>
    <t>Product master, categories and tracking</t>
  </si>
  <si>
    <t>Define 24 products with bilingual names, costs, tracking and expiry policies.</t>
  </si>
  <si>
    <t>Products_and_Inventory_Data.xlsx (sheets 1-2)</t>
  </si>
  <si>
    <t>Serial for equipment, lot+expiry for consumables</t>
  </si>
  <si>
    <t>T-021</t>
  </si>
  <si>
    <t>Opening balances and reordering rules</t>
  </si>
  <si>
    <t>Prepare warehouse opening stock and min/max rules.</t>
  </si>
  <si>
    <t>Products_and_Inventory_Data.xlsx (sheets 3,8)</t>
  </si>
  <si>
    <t>Opening value reconciles to opening journal</t>
  </si>
  <si>
    <t>T-022</t>
  </si>
  <si>
    <t>Five-month stock movements, lots and serials</t>
  </si>
  <si>
    <t>Generate coherent stock history with lot/serial registers and expiry tracking.</t>
  </si>
  <si>
    <t>Products_and_Inventory_Data.xlsx (sheets 4-7,9-10)</t>
  </si>
  <si>
    <t>Opening+in-out=closing for every product/warehouse</t>
  </si>
  <si>
    <t>T-023</t>
  </si>
  <si>
    <t>Customer and vendor master data</t>
  </si>
  <si>
    <t>Prepare 13 customers and 6 vendors (illustrative) with terms and credit limits.</t>
  </si>
  <si>
    <t>Partners_and_Operations_Cycles.xlsx (sheets 1-2)</t>
  </si>
  <si>
    <t>Partners flagged as illustrative</t>
  </si>
  <si>
    <t>T-024</t>
  </si>
  <si>
    <t>Five-month sales and purchase cycles</t>
  </si>
  <si>
    <t>Generate SOs, POs, deliveries, receipts, invoices, bills, payments and returns.</t>
  </si>
  <si>
    <t>Partners_and_Operations_Cycles.xlsx (sheets 3-10)</t>
  </si>
  <si>
    <t>T-022, T-023</t>
  </si>
  <si>
    <t>Documents reconcile with stock and GL</t>
  </si>
  <si>
    <t>T-025</t>
  </si>
  <si>
    <t>Monthly summaries and transaction reconciliation</t>
  </si>
  <si>
    <t>Summaries, receivable/payable roll-forward and ledger cross-checks.</t>
  </si>
  <si>
    <t>Partners_and_Operations_Cycles.xlsx (sheets 11-12)</t>
  </si>
  <si>
    <t>All checks pass or are explained</t>
  </si>
  <si>
    <t>T-026</t>
  </si>
  <si>
    <t>Data migration design and CSV import package</t>
  </si>
  <si>
    <t>Define import order, dependencies, CSV files and README with limitations.</t>
  </si>
  <si>
    <t>Import_Package/ (CSV + README)</t>
  </si>
  <si>
    <t>T-019, T-021, T-022, T-024</t>
  </si>
  <si>
    <t>Import order documented</t>
  </si>
  <si>
    <t>T-027</t>
  </si>
  <si>
    <t>Data quality checks</t>
  </si>
  <si>
    <t>Automated checks of keys, duplicates, dates and reconciliation.</t>
  </si>
  <si>
    <t>Validation_Report</t>
  </si>
  <si>
    <t>T-025, T-026</t>
  </si>
  <si>
    <t>Zero structural errors</t>
  </si>
  <si>
    <t>T-028</t>
  </si>
  <si>
    <t>Functional requirements validation</t>
  </si>
  <si>
    <t>Validate requirements against design and data; resolve conflicts.</t>
  </si>
  <si>
    <t>Validation notes (RTM)</t>
  </si>
  <si>
    <t>T-010, T-014</t>
  </si>
  <si>
    <t>No unresolved conflicts</t>
  </si>
  <si>
    <t>T-029</t>
  </si>
  <si>
    <t>5 QA &amp; Training</t>
  </si>
  <si>
    <t>UAT scenario and test-case documentation</t>
  </si>
  <si>
    <t>Write test cases covering the full lifecycle with simulated data references.</t>
  </si>
  <si>
    <t>UATD_User_Acceptance_Testing.xlsx</t>
  </si>
  <si>
    <t>T-007, T-010</t>
  </si>
  <si>
    <t>Every requirement has a test case</t>
  </si>
  <si>
    <t>T-030</t>
  </si>
  <si>
    <t>Simulated UAT review</t>
  </si>
  <si>
    <t>Review expected behaviour of each test against the documented scenario; record status honestly.</t>
  </si>
  <si>
    <t>UATD results (simulated)</t>
  </si>
  <si>
    <t>Results labelled simulated; unverified items not marked passed</t>
  </si>
  <si>
    <t>T-031</t>
  </si>
  <si>
    <t>User guides</t>
  </si>
  <si>
    <t>Prepare role-based guides (sales, purchase, warehouse, quality, accounting).</t>
  </si>
  <si>
    <t>UDP_Users_Guide.docx</t>
  </si>
  <si>
    <t>Guides cover core tasks</t>
  </si>
  <si>
    <t>T-032</t>
  </si>
  <si>
    <t>Training materials and plan</t>
  </si>
  <si>
    <t>Prepare training outline, exercises and assessment tasks.</t>
  </si>
  <si>
    <t>TD_Training_Document.docx</t>
  </si>
  <si>
    <t>Plan approved</t>
  </si>
  <si>
    <t>T-033</t>
  </si>
  <si>
    <t>Basic database configuration document</t>
  </si>
  <si>
    <t>Document initial Odoo setup: company, users, groups, settings, taxes, backups.</t>
  </si>
  <si>
    <t>Basic_Database_Configuration.docx</t>
  </si>
  <si>
    <t>T-011, T-018</t>
  </si>
  <si>
    <t>No real credentials included</t>
  </si>
  <si>
    <t>T-034</t>
  </si>
  <si>
    <t>Business process and cycle documentation</t>
  </si>
  <si>
    <t>Document the end-to-end cycles with examples from simulated records.</t>
  </si>
  <si>
    <t>BRD §5; SSD §8</t>
  </si>
  <si>
    <t>T-013, T-024</t>
  </si>
  <si>
    <t>Cycles tie to simulated data</t>
  </si>
  <si>
    <t>T-035</t>
  </si>
  <si>
    <t>Project name and scope document</t>
  </si>
  <si>
    <t>Define project identity, objectives, in/out of scope, deliverables, assumptions and acceptance criteria.</t>
  </si>
  <si>
    <t>Project_Name_and_Scope.docx</t>
  </si>
  <si>
    <t>T-001, T-005</t>
  </si>
  <si>
    <t>Scope approved by the team leader</t>
  </si>
  <si>
    <t>T-036</t>
  </si>
  <si>
    <t>CRM requirements and pipeline design</t>
  </si>
  <si>
    <t>Define leads, opportunity stages, sales teams per branch, lost reasons and tender tracking; link won opportunities to sales orders.</t>
  </si>
  <si>
    <t>BRD §6.3 (CRM); SSD CRM design; GAWF G-28, G-29</t>
  </si>
  <si>
    <t>T-005, T-006</t>
  </si>
  <si>
    <t>CRM requirements CRM-001..CRM-008 baselined</t>
  </si>
  <si>
    <t>T-037</t>
  </si>
  <si>
    <t>Users privileges document (UPD)</t>
  </si>
  <si>
    <t>Define roles, groups, access matrix, approval limits and segregation of duties.</t>
  </si>
  <si>
    <t>UPD_Users_Privileges.docx</t>
  </si>
  <si>
    <t>T-012, T-019</t>
  </si>
  <si>
    <t>Segregation of duties documented; no credentials</t>
  </si>
  <si>
    <t>T-038</t>
  </si>
  <si>
    <t>Module configuration specifications (Sales/CRM, Purchase, Inventory, Accounting, general settings)</t>
  </si>
  <si>
    <t>Specify app settings, journals, imports and access rights per Odoo area with the owner of each area.</t>
  </si>
  <si>
    <t>Basic_Database_Configuration.docx §7-10; Runbook</t>
  </si>
  <si>
    <t>T-011, T-017</t>
  </si>
  <si>
    <t>Each Odoo area has an owner and a configuration checklist</t>
  </si>
  <si>
    <t>T-039</t>
  </si>
  <si>
    <t>CRM pipeline sample data and CSV</t>
  </si>
  <si>
    <t>Prepare simulated leads/opportunities linked to sales orders, stages and teams; add CSV 16 and reconciliation checks.</t>
  </si>
  <si>
    <t>Partners_and_Operations_Cycles.xlsx (CRM Pipeline); Import_Package/16_crm_pipeline.csv</t>
  </si>
  <si>
    <t>T-022, T-024</t>
  </si>
  <si>
    <t>Won opportunities reconcile with non-retail sales orders</t>
  </si>
  <si>
    <t>T-040</t>
  </si>
  <si>
    <t>Go-live and deployment plan</t>
  </si>
  <si>
    <t>Define readiness criteria, cut-over, reconciliation, rollback and hypercare.</t>
  </si>
  <si>
    <t>Go_Live_and_Deployment_Plan.docx</t>
  </si>
  <si>
    <t>T-015, T-026</t>
  </si>
  <si>
    <t>Cut-over and rollback steps documented</t>
  </si>
  <si>
    <t>T-041</t>
  </si>
  <si>
    <t>Accounting procedures and month-end close checklist</t>
  </si>
  <si>
    <t>Document accounting procedures, reconciliation steps and month-end close for Odoo.</t>
  </si>
  <si>
    <t>Month-end close checklist (SSD / UDP section 7)</t>
  </si>
  <si>
    <t>T-019, T-025</t>
  </si>
  <si>
    <t>Checklist matches simulated reconciliations</t>
  </si>
  <si>
    <t>T-042</t>
  </si>
  <si>
    <t>6 Closure</t>
  </si>
  <si>
    <t>Presentation for graduation defense</t>
  </si>
  <si>
    <t>Build 15-20 slide-style PDF.</t>
  </si>
  <si>
    <t>PowerPoint_Presentation.pdf</t>
  </si>
  <si>
    <t>T-014, T-016, T-028</t>
  </si>
  <si>
    <t>Facts consistent with documents</t>
  </si>
  <si>
    <t>T-043</t>
  </si>
  <si>
    <t>Final quality assurance</t>
  </si>
  <si>
    <t>Cross-document consistency check; fix defects.</t>
  </si>
  <si>
    <t>Final QA notes</t>
  </si>
  <si>
    <t>T-027, T-030, T-032, T-033, T-034, T-042, T-035, T-036, T-037, T-038, T-039, T-040, T-041</t>
  </si>
  <si>
    <t>No inconsistencies</t>
  </si>
  <si>
    <t>T-044</t>
  </si>
  <si>
    <t>Final review and project coordination</t>
  </si>
  <si>
    <t>Final governance sign-off and package approval.</t>
  </si>
  <si>
    <t>Approval record</t>
  </si>
  <si>
    <t>Approved by team leader</t>
  </si>
  <si>
    <t>T-045</t>
  </si>
  <si>
    <t>ZIP packaging and validation report</t>
  </si>
  <si>
    <t>Package deliverables and run automated validation.</t>
  </si>
  <si>
    <t>RedLine_Odoo_Graduation_Project.zip; Validation_Report</t>
  </si>
  <si>
    <t>All required files present and opening</t>
  </si>
  <si>
    <t>Deliverable ID</t>
  </si>
  <si>
    <t>Package Path</t>
  </si>
  <si>
    <t>Format</t>
  </si>
  <si>
    <t>Accountable Owner</t>
  </si>
  <si>
    <t>Linked Tasks</t>
  </si>
  <si>
    <t>D-001</t>
  </si>
  <si>
    <t>Project presentation (18 slides, editable)</t>
  </si>
  <si>
    <t>1. Project Presentation/PowerPoint_Presentation.pptx</t>
  </si>
  <si>
    <t>PPTX</t>
  </si>
  <si>
    <t>Delivered (generated)</t>
  </si>
  <si>
    <t>D-002</t>
  </si>
  <si>
    <t>Project presentation (18 slides, PDF)</t>
  </si>
  <si>
    <t>1. Project Presentation/PDF_Presentations.pdf</t>
  </si>
  <si>
    <t>PDF</t>
  </si>
  <si>
    <t>D-003</t>
  </si>
  <si>
    <t>Project name and scope</t>
  </si>
  <si>
    <t>2. Project Preparations Documents/Project_Name_and_Scope.docx</t>
  </si>
  <si>
    <t>DOCX</t>
  </si>
  <si>
    <t>T-002, T-035</t>
  </si>
  <si>
    <t>D-004</t>
  </si>
  <si>
    <t>Company profile (bilingual)</t>
  </si>
  <si>
    <t>2. Project Preparations Documents/Company_Profile.docx</t>
  </si>
  <si>
    <t>D-005</t>
  </si>
  <si>
    <t>2. Project Preparations Documents/Project_Team_and_Roles.xlsx</t>
  </si>
  <si>
    <t>XLSX</t>
  </si>
  <si>
    <t>D-006</t>
  </si>
  <si>
    <t>Basic database configuration</t>
  </si>
  <si>
    <t>2. Project Preparations Documents/Basic_Database_Configuration.docx</t>
  </si>
  <si>
    <t>T-033, T-004</t>
  </si>
  <si>
    <t>D-007</t>
  </si>
  <si>
    <t>Business requirements document (BRD)</t>
  </si>
  <si>
    <t>3. Project Documents/BRD_Business_Requirements.docx</t>
  </si>
  <si>
    <t>T-005 - T-008</t>
  </si>
  <si>
    <t>D-008</t>
  </si>
  <si>
    <t>Requirements traceability matrix (RTM)</t>
  </si>
  <si>
    <t>3. Project Documents/RTM_Traceability_Matrix.xlsx</t>
  </si>
  <si>
    <t>T-010, T-028</t>
  </si>
  <si>
    <t>D-009</t>
  </si>
  <si>
    <t>Solution design document (SSD)</t>
  </si>
  <si>
    <t>3. Project Documents/SSD_Solution_Design.docx</t>
  </si>
  <si>
    <t>T-011 - T-014</t>
  </si>
  <si>
    <t>D-010</t>
  </si>
  <si>
    <t>3. Project Documents/GAWF_Gap_Analysis.docx</t>
  </si>
  <si>
    <t>D-011</t>
  </si>
  <si>
    <t>3. Project Documents/TPD_Technical_Proposal.docx</t>
  </si>
  <si>
    <t>D-012</t>
  </si>
  <si>
    <t>3. Project Documents/UPD_Users_Privileges.docx</t>
  </si>
  <si>
    <t>D-013</t>
  </si>
  <si>
    <t>Training document (TD)</t>
  </si>
  <si>
    <t>3. Project Documents/TD_Training_Document.docx</t>
  </si>
  <si>
    <t>D-014</t>
  </si>
  <si>
    <t>User's guide (UDP)</t>
  </si>
  <si>
    <t>3. Project Documents/UDP_Users_Guide.docx</t>
  </si>
  <si>
    <t>D-015</t>
  </si>
  <si>
    <t>3. Project Documents/FPD_Financial_Proposal.pdf</t>
  </si>
  <si>
    <t>D-016</t>
  </si>
  <si>
    <t>User acceptance testing workbook (UATD)</t>
  </si>
  <si>
    <t>3. Project Documents/UATD_User_Acceptance_Testing.xlsx</t>
  </si>
  <si>
    <t>T-029, T-030</t>
  </si>
  <si>
    <t>D-017</t>
  </si>
  <si>
    <t>Organization and accounting charts</t>
  </si>
  <si>
    <t>4. Entity Data &amp; Implementation Setup/Organization_and_Accounting_Charts.xlsx</t>
  </si>
  <si>
    <t>T-017 - T-019</t>
  </si>
  <si>
    <t>D-018</t>
  </si>
  <si>
    <t>Products and inventory data</t>
  </si>
  <si>
    <t>4. Entity Data &amp; Implementation Setup/Products_and_Inventory_Data.xlsx</t>
  </si>
  <si>
    <t>T-020 - T-022</t>
  </si>
  <si>
    <t>D-019</t>
  </si>
  <si>
    <t>4. Entity Data &amp; Implementation Setup/Go_Live_and_Deployment_Plan.docx</t>
  </si>
  <si>
    <t>D-020</t>
  </si>
  <si>
    <t>Partners and operations cycles</t>
  </si>
  <si>
    <t>4. Entity Data &amp; Implementation Setup/Partners_and_Operations_Cycles.xlsx</t>
  </si>
  <si>
    <t>T-023 - T-025</t>
  </si>
  <si>
    <t>D-021</t>
  </si>
  <si>
    <t>CSV import package and README (16 files)</t>
  </si>
  <si>
    <t>4. Entity Data &amp; Implementation Setup/Import_Package/</t>
  </si>
  <si>
    <t>CSV + MD</t>
  </si>
  <si>
    <t>D-022</t>
  </si>
  <si>
    <t>Validation report</t>
  </si>
  <si>
    <t>3. Project Documents/Supporting/Validation_Report.md</t>
  </si>
  <si>
    <t>MD</t>
  </si>
  <si>
    <t>T-027, T-043</t>
  </si>
  <si>
    <t>D-023</t>
  </si>
  <si>
    <t>User guide and training outline (SSD appendix, BDC section 10)</t>
  </si>
  <si>
    <t>DOCX (sections)</t>
  </si>
  <si>
    <t>T-031, T-032</t>
  </si>
  <si>
    <t>Milestone ID</t>
  </si>
  <si>
    <t>Milestone</t>
  </si>
  <si>
    <t>Target Date</t>
  </si>
  <si>
    <t>M-01</t>
  </si>
  <si>
    <t>Project kick-off and charter approved</t>
  </si>
  <si>
    <t>Achieved</t>
  </si>
  <si>
    <t>M-02</t>
  </si>
  <si>
    <t>Requirements baseline (BRD + RTM)</t>
  </si>
  <si>
    <t>M-03</t>
  </si>
  <si>
    <t>Solution design and GAWF approved</t>
  </si>
  <si>
    <t>T-009, T-014</t>
  </si>
  <si>
    <t>M-04</t>
  </si>
  <si>
    <t>Master and transactional data prepared</t>
  </si>
  <si>
    <t>T-022 - T-027</t>
  </si>
  <si>
    <t>M-05</t>
  </si>
  <si>
    <t>UAT documented and reviewed (simulated)</t>
  </si>
  <si>
    <t>M-06</t>
  </si>
  <si>
    <t>Final review and package validated</t>
  </si>
  <si>
    <t>T-044, T-045</t>
  </si>
  <si>
    <t>Odoo Area</t>
  </si>
  <si>
    <t>Responsible (does the work)</t>
  </si>
  <si>
    <t>Configuration</t>
  </si>
  <si>
    <t>File upload / data</t>
  </si>
  <si>
    <t>Journals</t>
  </si>
  <si>
    <t>Testing</t>
  </si>
  <si>
    <t>Documentation</t>
  </si>
  <si>
    <t>Reviewer</t>
  </si>
  <si>
    <t>General settings, apps, companies and branches</t>
  </si>
  <si>
    <t>Install apps, company, branches, languages</t>
  </si>
  <si>
    <t>Configure in Odoo; no data file</t>
  </si>
  <si>
    <t>Not applicable</t>
  </si>
  <si>
    <t>Settings review</t>
  </si>
  <si>
    <t>Basic_Database_Configuration §1-5</t>
  </si>
  <si>
    <t>Mohamed Essam El-Din Youssef (review)</t>
  </si>
  <si>
    <t>Users, access rights and approvals</t>
  </si>
  <si>
    <t>Groups, record rules, approval thresholds</t>
  </si>
  <si>
    <t>Users created from placeholders</t>
  </si>
  <si>
    <t>Access tests (SEC-001..005)</t>
  </si>
  <si>
    <t>UPD_Users_Privileges</t>
  </si>
  <si>
    <t>Omnia Haitham (review)</t>
  </si>
  <si>
    <t>Sales and CRM</t>
  </si>
  <si>
    <t>Pricelists, quotation templates, pipeline stages, sales teams</t>
  </si>
  <si>
    <t>Customers, pricelists, CRM sample (CSV 06, 16)</t>
  </si>
  <si>
    <t>Sales journal INV used with Accounting</t>
  </si>
  <si>
    <t>Sales and CRM test cases</t>
  </si>
  <si>
    <t>BRD 6.2-6.3, UDP 3</t>
  </si>
  <si>
    <t>Mohamed Mahmoud Abdel Bary (review)</t>
  </si>
  <si>
    <t>Purchase and vendors</t>
  </si>
  <si>
    <t>RFQ/PO flow, approvals, vendor pricelists, quality checks</t>
  </si>
  <si>
    <t>Vendors (CSV 07)</t>
  </si>
  <si>
    <t>Vendor bills BILL journal with Accounting</t>
  </si>
  <si>
    <t>Purchase and quality test cases</t>
  </si>
  <si>
    <t>BRD 6.4, UDP 4 and 6</t>
  </si>
  <si>
    <t>Ahmed Mahmoud Mohamed (review)</t>
  </si>
  <si>
    <t>Inventory and warehouses</t>
  </si>
  <si>
    <t>Warehouses, locations, routes, lots/serials, expiry, FEFO, reordering</t>
  </si>
  <si>
    <t>Products, lots/serials, opening stock (CSV 02-05, 11-13)</t>
  </si>
  <si>
    <t>Stock Journal STJ, valuation accounts with Accounting</t>
  </si>
  <si>
    <t>Inventory test cases</t>
  </si>
  <si>
    <t>BRD 6.5, SSD 6, UDP 5</t>
  </si>
  <si>
    <t>Fathy Adel Fathy (review)</t>
  </si>
  <si>
    <t>Accounting and journals</t>
  </si>
  <si>
    <t>Chart, taxes, payment terms, fiscal settings, analytic plan</t>
  </si>
  <si>
    <t>Chart, journals, mapping (CSV 08-10)</t>
  </si>
  <si>
    <t>All journals: INV, BILL, STJ, MISC, OPEN, banks, cash safes</t>
  </si>
  <si>
    <t>Accounting test cases and reconciliations</t>
  </si>
  <si>
    <t>BRD 6.6, SSD 9, UDP 7</t>
  </si>
  <si>
    <t>Data upload (CSV import)</t>
  </si>
  <si>
    <t>Import order and dependencies, error handling</t>
  </si>
  <si>
    <t>All CSV files (01-16)</t>
  </si>
  <si>
    <t>Opening entry reviewed by Omnia Haitham</t>
  </si>
  <si>
    <t>Counts, duplicates, keys</t>
  </si>
  <si>
    <t>Import_Package README</t>
  </si>
  <si>
    <t>Project status summary (formulas)</t>
  </si>
  <si>
    <t>Tasks</t>
  </si>
  <si>
    <t>Avg Progress</t>
  </si>
  <si>
    <t>Earliest Start</t>
  </si>
  <si>
    <t>Latest End</t>
  </si>
  <si>
    <t>All tasks</t>
  </si>
  <si>
    <t>Tasks not at 100%</t>
  </si>
  <si>
    <t>Tasks without owner</t>
  </si>
  <si>
    <t>Overall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</si>
</sst>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charset val="1"/>
    </font>
    <font>
      <b/>
      <sz val="16"/>
      <color rgb="FFC8102E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C8102E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charset val="178"/>
    </font>
    <font>
      <b/>
      <sz val="12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DC262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/>
    </xf>
    <xf numFmtId="9" fontId="3" fillId="0" borderId="1" xfId="0" applyNumberFormat="1" applyFont="1" applyBorder="1" applyAlignment="1">
      <alignment vertical="top"/>
    </xf>
    <xf numFmtId="0" fontId="5" fillId="0" borderId="0" xfId="0" applyFont="1"/>
    <xf numFmtId="0" fontId="6" fillId="2" borderId="0" xfId="0" applyFont="1" applyFill="1"/>
    <xf numFmtId="0" fontId="3" fillId="0" borderId="0" xfId="0" applyFont="1"/>
    <xf numFmtId="9" fontId="3" fillId="0" borderId="0" xfId="0" applyNumberFormat="1" applyFont="1"/>
    <xf numFmtId="164" fontId="3" fillId="0" borderId="0" xfId="0" applyNumberFormat="1" applyFont="1"/>
    <xf numFmtId="0" fontId="7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top"/>
    </xf>
    <xf numFmtId="0" fontId="8" fillId="0" borderId="2" xfId="0" applyFont="1" applyBorder="1" applyAlignment="1">
      <alignment vertical="top" wrapText="1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7C3AED"/>
      <rgbColor rgb="FF969696"/>
      <rgbColor rgb="FF003366"/>
      <rgbColor rgb="FF339966"/>
      <rgbColor rgb="FF003300"/>
      <rgbColor rgb="FF333300"/>
      <rgbColor rgb="FFDC262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blTeam" displayName="tblTeam" ref="A1:F6" totalsRowShown="0" dataDxfId="0">
  <autoFilter ref="A1:F6" xr:uid="{00000000-0009-0000-0100-000006000000}"/>
  <tableColumns count="6">
    <tableColumn id="1" xr3:uid="{00000000-0010-0000-0000-000001000000}" name="Member ID" dataDxfId="6"/>
    <tableColumn id="2" xr3:uid="{00000000-0010-0000-0000-000002000000}" name="Name" dataDxfId="5"/>
    <tableColumn id="3" xr3:uid="{00000000-0010-0000-0000-000003000000}" name="Role" dataDxfId="4"/>
    <tableColumn id="4" xr3:uid="{00000000-0010-0000-0000-000004000000}" name="Primary Responsibilities" dataDxfId="3"/>
    <tableColumn id="5" xr3:uid="{00000000-0010-0000-0000-000005000000}" name="Team" dataDxfId="2"/>
    <tableColumn id="6" xr3:uid="{00000000-0010-0000-0000-000006000000}" name="Not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Roles" displayName="tblRoles" ref="A1:F21" totalsRowShown="0">
  <autoFilter ref="A1:F21" xr:uid="{00000000-0009-0000-0100-000004000000}"/>
  <tableColumns count="6">
    <tableColumn id="1" xr3:uid="{00000000-0010-0000-0100-000001000000}" name="Member ID"/>
    <tableColumn id="2" xr3:uid="{00000000-0010-0000-0100-000002000000}" name="Name"/>
    <tableColumn id="3" xr3:uid="{00000000-0010-0000-0100-000003000000}" name="Role"/>
    <tableColumn id="4" xr3:uid="{00000000-0010-0000-0100-000004000000}" name="Resp. ID"/>
    <tableColumn id="5" xr3:uid="{00000000-0010-0000-0100-000005000000}" name="Responsibility"/>
    <tableColumn id="6" xr3:uid="{00000000-0010-0000-0100-000006000000}" name="RACI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Tasks" displayName="tblTasks" ref="A1:M46" totalsRowShown="0">
  <autoFilter ref="A1:M46" xr:uid="{00000000-0009-0000-0100-000005000000}"/>
  <tableColumns count="13">
    <tableColumn id="1" xr3:uid="{00000000-0010-0000-0200-000001000000}" name="Task ID"/>
    <tableColumn id="2" xr3:uid="{00000000-0010-0000-0200-000002000000}" name="Phase"/>
    <tableColumn id="3" xr3:uid="{00000000-0010-0000-0200-000003000000}" name="Task"/>
    <tableColumn id="4" xr3:uid="{00000000-0010-0000-0200-000004000000}" name="Description"/>
    <tableColumn id="5" xr3:uid="{00000000-0010-0000-0200-000005000000}" name="Owner"/>
    <tableColumn id="6" xr3:uid="{00000000-0010-0000-0200-000006000000}" name="Start Date"/>
    <tableColumn id="7" xr3:uid="{00000000-0010-0000-0200-000007000000}" name="End Date"/>
    <tableColumn id="8" xr3:uid="{00000000-0010-0000-0200-000008000000}" name="Priority"/>
    <tableColumn id="9" xr3:uid="{00000000-0010-0000-0200-000009000000}" name="Deliverable"/>
    <tableColumn id="10" xr3:uid="{00000000-0010-0000-0200-00000A000000}" name="Dependencies"/>
    <tableColumn id="11" xr3:uid="{00000000-0010-0000-0200-00000B000000}" name="Status"/>
    <tableColumn id="12" xr3:uid="{00000000-0010-0000-0200-00000C000000}" name="Progress %"/>
    <tableColumn id="13" xr3:uid="{00000000-0010-0000-0200-00000D000000}" name="Acceptance Criter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lDeliverables" displayName="tblDeliverables" ref="A1:G24" totalsRowShown="0">
  <autoFilter ref="A1:G24" xr:uid="{00000000-0009-0000-0100-000001000000}"/>
  <tableColumns count="7">
    <tableColumn id="1" xr3:uid="{00000000-0010-0000-0300-000001000000}" name="Deliverable ID"/>
    <tableColumn id="2" xr3:uid="{00000000-0010-0000-0300-000002000000}" name="Deliverable"/>
    <tableColumn id="3" xr3:uid="{00000000-0010-0000-0300-000003000000}" name="Package Path"/>
    <tableColumn id="4" xr3:uid="{00000000-0010-0000-0300-000004000000}" name="Format"/>
    <tableColumn id="5" xr3:uid="{00000000-0010-0000-0300-000005000000}" name="Accountable Owner"/>
    <tableColumn id="6" xr3:uid="{00000000-0010-0000-0300-000006000000}" name="Status"/>
    <tableColumn id="7" xr3:uid="{00000000-0010-0000-0300-000007000000}" name="Linked Task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lMilestones" displayName="tblMilestones" ref="A1:F7" totalsRowShown="0">
  <autoFilter ref="A1:F7" xr:uid="{00000000-0009-0000-0100-000002000000}"/>
  <tableColumns count="6">
    <tableColumn id="1" xr3:uid="{00000000-0010-0000-0400-000001000000}" name="Milestone ID"/>
    <tableColumn id="2" xr3:uid="{00000000-0010-0000-0400-000002000000}" name="Milestone"/>
    <tableColumn id="3" xr3:uid="{00000000-0010-0000-0400-000003000000}" name="Target Date"/>
    <tableColumn id="4" xr3:uid="{00000000-0010-0000-0400-000004000000}" name="Owner"/>
    <tableColumn id="5" xr3:uid="{00000000-0010-0000-0400-000005000000}" name="Linked Tasks"/>
    <tableColumn id="6" xr3:uid="{00000000-0010-0000-0400-000006000000}" name="Statu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blModules" displayName="tblModules" ref="A1:H8" totalsRowShown="0">
  <autoFilter ref="A1:H8" xr:uid="{00000000-0009-0000-0100-000003000000}"/>
  <tableColumns count="8">
    <tableColumn id="1" xr3:uid="{00000000-0010-0000-0500-000001000000}" name="Odoo Area"/>
    <tableColumn id="2" xr3:uid="{00000000-0010-0000-0500-000002000000}" name="Responsible (does the work)"/>
    <tableColumn id="3" xr3:uid="{00000000-0010-0000-0500-000003000000}" name="Configuration"/>
    <tableColumn id="4" xr3:uid="{00000000-0010-0000-0500-000004000000}" name="File upload / data"/>
    <tableColumn id="5" xr3:uid="{00000000-0010-0000-0500-000005000000}" name="Journals"/>
    <tableColumn id="6" xr3:uid="{00000000-0010-0000-0500-000006000000}" name="Testing"/>
    <tableColumn id="7" xr3:uid="{00000000-0010-0000-0500-000007000000}" name="Documentation"/>
    <tableColumn id="8" xr3:uid="{00000000-0010-0000-0500-000008000000}" name="Review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102E"/>
  </sheetPr>
  <dimension ref="A1:B9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2" width="110" customWidth="1"/>
  </cols>
  <sheetData>
    <row r="1" spans="1:2" ht="20.25" x14ac:dyDescent="0.3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ht="38.25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ht="25.5" x14ac:dyDescent="0.25">
      <c r="A9" s="2" t="s">
        <v>13</v>
      </c>
      <c r="B9" s="3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102E"/>
  </sheetPr>
  <dimension ref="A1:F6"/>
  <sheetViews>
    <sheetView zoomScale="90" zoomScaleNormal="90" workbookViewId="0">
      <pane ySplit="1" topLeftCell="A2" activePane="bottomLeft" state="frozen"/>
      <selection pane="bottomLeft" activeCell="D4" sqref="D4"/>
    </sheetView>
  </sheetViews>
  <sheetFormatPr defaultColWidth="8.7109375" defaultRowHeight="15" x14ac:dyDescent="0.25"/>
  <cols>
    <col min="1" max="1" width="13" customWidth="1"/>
    <col min="2" max="2" width="30" customWidth="1"/>
    <col min="3" max="3" width="65" customWidth="1"/>
    <col min="4" max="4" width="110.140625" customWidth="1"/>
    <col min="5" max="5" width="33" customWidth="1"/>
    <col min="6" max="6" width="36.42578125" customWidth="1"/>
  </cols>
  <sheetData>
    <row r="1" spans="1:6" ht="31.5" customHeight="1" x14ac:dyDescent="0.25">
      <c r="A1" s="15" t="s">
        <v>15</v>
      </c>
      <c r="B1" s="15" t="s">
        <v>16</v>
      </c>
      <c r="C1" s="15" t="s">
        <v>17</v>
      </c>
      <c r="D1" s="15" t="s">
        <v>18</v>
      </c>
      <c r="E1" s="15" t="s">
        <v>19</v>
      </c>
      <c r="F1" s="15" t="s">
        <v>20</v>
      </c>
    </row>
    <row r="2" spans="1:6" s="14" customFormat="1" ht="86.25" customHeight="1" x14ac:dyDescent="0.25">
      <c r="A2" s="16" t="s">
        <v>21</v>
      </c>
      <c r="B2" s="16" t="s">
        <v>22</v>
      </c>
      <c r="C2" s="16" t="s">
        <v>23</v>
      </c>
      <c r="D2" s="17" t="s">
        <v>24</v>
      </c>
      <c r="E2" s="16" t="s">
        <v>25</v>
      </c>
      <c r="F2" s="16" t="s">
        <v>26</v>
      </c>
    </row>
    <row r="3" spans="1:6" s="14" customFormat="1" ht="86.25" customHeight="1" x14ac:dyDescent="0.25">
      <c r="A3" s="16" t="s">
        <v>27</v>
      </c>
      <c r="B3" s="16" t="s">
        <v>28</v>
      </c>
      <c r="C3" s="16" t="s">
        <v>29</v>
      </c>
      <c r="D3" s="17" t="s">
        <v>30</v>
      </c>
      <c r="E3" s="16" t="s">
        <v>25</v>
      </c>
      <c r="F3" s="16" t="s">
        <v>26</v>
      </c>
    </row>
    <row r="4" spans="1:6" s="14" customFormat="1" ht="86.25" customHeight="1" x14ac:dyDescent="0.25">
      <c r="A4" s="16" t="s">
        <v>31</v>
      </c>
      <c r="B4" s="16" t="s">
        <v>32</v>
      </c>
      <c r="C4" s="16" t="s">
        <v>33</v>
      </c>
      <c r="D4" s="17" t="s">
        <v>34</v>
      </c>
      <c r="E4" s="16" t="s">
        <v>25</v>
      </c>
      <c r="F4" s="16" t="s">
        <v>26</v>
      </c>
    </row>
    <row r="5" spans="1:6" s="14" customFormat="1" ht="86.25" customHeight="1" x14ac:dyDescent="0.25">
      <c r="A5" s="16" t="s">
        <v>35</v>
      </c>
      <c r="B5" s="16" t="s">
        <v>36</v>
      </c>
      <c r="C5" s="16" t="s">
        <v>37</v>
      </c>
      <c r="D5" s="17" t="s">
        <v>38</v>
      </c>
      <c r="E5" s="16" t="s">
        <v>25</v>
      </c>
      <c r="F5" s="16" t="s">
        <v>26</v>
      </c>
    </row>
    <row r="6" spans="1:6" s="14" customFormat="1" ht="86.25" customHeight="1" x14ac:dyDescent="0.25">
      <c r="A6" s="16" t="s">
        <v>39</v>
      </c>
      <c r="B6" s="16" t="s">
        <v>40</v>
      </c>
      <c r="C6" s="16" t="s">
        <v>41</v>
      </c>
      <c r="D6" s="17" t="s">
        <v>42</v>
      </c>
      <c r="E6" s="16" t="s">
        <v>25</v>
      </c>
      <c r="F6" s="16" t="s">
        <v>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102E"/>
  </sheetPr>
  <dimension ref="A1:F21"/>
  <sheetViews>
    <sheetView zoomScale="90" zoomScaleNormal="90" workbookViewId="0">
      <pane ySplit="1" topLeftCell="A2" activePane="bottomLeft" state="frozen"/>
      <selection pane="bottomLeft" activeCell="C19" sqref="C19"/>
    </sheetView>
  </sheetViews>
  <sheetFormatPr defaultColWidth="8.7109375" defaultRowHeight="15" x14ac:dyDescent="0.25"/>
  <cols>
    <col min="1" max="1" width="13" customWidth="1"/>
    <col min="2" max="2" width="30" customWidth="1"/>
    <col min="3" max="3" width="40" customWidth="1"/>
    <col min="4" max="4" width="13" customWidth="1"/>
    <col min="5" max="5" width="60" customWidth="1"/>
    <col min="6" max="6" width="19" customWidth="1"/>
  </cols>
  <sheetData>
    <row r="1" spans="1:6" ht="31.5" customHeight="1" x14ac:dyDescent="0.25">
      <c r="A1" s="4" t="s">
        <v>15</v>
      </c>
      <c r="B1" s="4" t="s">
        <v>16</v>
      </c>
      <c r="C1" s="4" t="s">
        <v>17</v>
      </c>
      <c r="D1" s="4" t="s">
        <v>43</v>
      </c>
      <c r="E1" s="4" t="s">
        <v>44</v>
      </c>
      <c r="F1" s="4" t="s">
        <v>45</v>
      </c>
    </row>
    <row r="2" spans="1:6" x14ac:dyDescent="0.25">
      <c r="A2" s="5" t="s">
        <v>21</v>
      </c>
      <c r="B2" s="5" t="s">
        <v>22</v>
      </c>
      <c r="C2" s="5" t="s">
        <v>23</v>
      </c>
      <c r="D2" s="5" t="s">
        <v>46</v>
      </c>
      <c r="E2" s="5" t="s">
        <v>47</v>
      </c>
      <c r="F2" s="5" t="s">
        <v>48</v>
      </c>
    </row>
    <row r="3" spans="1:6" x14ac:dyDescent="0.25">
      <c r="A3" s="5" t="s">
        <v>21</v>
      </c>
      <c r="B3" s="5" t="s">
        <v>22</v>
      </c>
      <c r="C3" s="5" t="s">
        <v>23</v>
      </c>
      <c r="D3" s="5" t="s">
        <v>49</v>
      </c>
      <c r="E3" s="5" t="s">
        <v>50</v>
      </c>
      <c r="F3" s="5" t="s">
        <v>48</v>
      </c>
    </row>
    <row r="4" spans="1:6" x14ac:dyDescent="0.25">
      <c r="A4" s="5" t="s">
        <v>21</v>
      </c>
      <c r="B4" s="5" t="s">
        <v>22</v>
      </c>
      <c r="C4" s="5" t="s">
        <v>23</v>
      </c>
      <c r="D4" s="5" t="s">
        <v>51</v>
      </c>
      <c r="E4" s="5" t="s">
        <v>52</v>
      </c>
      <c r="F4" s="5" t="s">
        <v>48</v>
      </c>
    </row>
    <row r="5" spans="1:6" x14ac:dyDescent="0.25">
      <c r="A5" s="5" t="s">
        <v>21</v>
      </c>
      <c r="B5" s="5" t="s">
        <v>22</v>
      </c>
      <c r="C5" s="5" t="s">
        <v>23</v>
      </c>
      <c r="D5" s="5" t="s">
        <v>53</v>
      </c>
      <c r="E5" s="5" t="s">
        <v>54</v>
      </c>
      <c r="F5" s="5" t="s">
        <v>48</v>
      </c>
    </row>
    <row r="6" spans="1:6" x14ac:dyDescent="0.25">
      <c r="A6" s="5" t="s">
        <v>27</v>
      </c>
      <c r="B6" s="5" t="s">
        <v>28</v>
      </c>
      <c r="C6" s="5" t="s">
        <v>29</v>
      </c>
      <c r="D6" s="5" t="s">
        <v>46</v>
      </c>
      <c r="E6" s="5" t="s">
        <v>55</v>
      </c>
      <c r="F6" s="5" t="s">
        <v>48</v>
      </c>
    </row>
    <row r="7" spans="1:6" x14ac:dyDescent="0.25">
      <c r="A7" s="5" t="s">
        <v>27</v>
      </c>
      <c r="B7" s="5" t="s">
        <v>28</v>
      </c>
      <c r="C7" s="5" t="s">
        <v>29</v>
      </c>
      <c r="D7" s="5" t="s">
        <v>49</v>
      </c>
      <c r="E7" s="5" t="s">
        <v>56</v>
      </c>
      <c r="F7" s="5" t="s">
        <v>48</v>
      </c>
    </row>
    <row r="8" spans="1:6" x14ac:dyDescent="0.25">
      <c r="A8" s="5" t="s">
        <v>27</v>
      </c>
      <c r="B8" s="5" t="s">
        <v>28</v>
      </c>
      <c r="C8" s="5" t="s">
        <v>29</v>
      </c>
      <c r="D8" s="5" t="s">
        <v>51</v>
      </c>
      <c r="E8" s="5" t="s">
        <v>57</v>
      </c>
      <c r="F8" s="5" t="s">
        <v>48</v>
      </c>
    </row>
    <row r="9" spans="1:6" x14ac:dyDescent="0.25">
      <c r="A9" s="5" t="s">
        <v>27</v>
      </c>
      <c r="B9" s="5" t="s">
        <v>28</v>
      </c>
      <c r="C9" s="5" t="s">
        <v>29</v>
      </c>
      <c r="D9" s="5" t="s">
        <v>53</v>
      </c>
      <c r="E9" s="5" t="s">
        <v>58</v>
      </c>
      <c r="F9" s="5" t="s">
        <v>48</v>
      </c>
    </row>
    <row r="10" spans="1:6" x14ac:dyDescent="0.25">
      <c r="A10" s="5" t="s">
        <v>31</v>
      </c>
      <c r="B10" s="5" t="s">
        <v>32</v>
      </c>
      <c r="C10" s="5" t="s">
        <v>33</v>
      </c>
      <c r="D10" s="5" t="s">
        <v>46</v>
      </c>
      <c r="E10" s="5" t="s">
        <v>59</v>
      </c>
      <c r="F10" s="5" t="s">
        <v>48</v>
      </c>
    </row>
    <row r="11" spans="1:6" x14ac:dyDescent="0.25">
      <c r="A11" s="5" t="s">
        <v>31</v>
      </c>
      <c r="B11" s="5" t="s">
        <v>32</v>
      </c>
      <c r="C11" s="5" t="s">
        <v>33</v>
      </c>
      <c r="D11" s="5" t="s">
        <v>49</v>
      </c>
      <c r="E11" s="5" t="s">
        <v>60</v>
      </c>
      <c r="F11" s="5" t="s">
        <v>48</v>
      </c>
    </row>
    <row r="12" spans="1:6" x14ac:dyDescent="0.25">
      <c r="A12" s="5" t="s">
        <v>31</v>
      </c>
      <c r="B12" s="5" t="s">
        <v>32</v>
      </c>
      <c r="C12" s="5" t="s">
        <v>33</v>
      </c>
      <c r="D12" s="5" t="s">
        <v>51</v>
      </c>
      <c r="E12" s="5" t="s">
        <v>61</v>
      </c>
      <c r="F12" s="5" t="s">
        <v>48</v>
      </c>
    </row>
    <row r="13" spans="1:6" x14ac:dyDescent="0.25">
      <c r="A13" s="5" t="s">
        <v>31</v>
      </c>
      <c r="B13" s="5" t="s">
        <v>32</v>
      </c>
      <c r="C13" s="5" t="s">
        <v>33</v>
      </c>
      <c r="D13" s="5" t="s">
        <v>53</v>
      </c>
      <c r="E13" s="5" t="s">
        <v>62</v>
      </c>
      <c r="F13" s="5" t="s">
        <v>48</v>
      </c>
    </row>
    <row r="14" spans="1:6" x14ac:dyDescent="0.25">
      <c r="A14" s="5" t="s">
        <v>35</v>
      </c>
      <c r="B14" s="5" t="s">
        <v>36</v>
      </c>
      <c r="C14" s="5" t="s">
        <v>37</v>
      </c>
      <c r="D14" s="5" t="s">
        <v>46</v>
      </c>
      <c r="E14" s="5" t="s">
        <v>63</v>
      </c>
      <c r="F14" s="5" t="s">
        <v>48</v>
      </c>
    </row>
    <row r="15" spans="1:6" x14ac:dyDescent="0.25">
      <c r="A15" s="5" t="s">
        <v>35</v>
      </c>
      <c r="B15" s="5" t="s">
        <v>36</v>
      </c>
      <c r="C15" s="5" t="s">
        <v>37</v>
      </c>
      <c r="D15" s="5" t="s">
        <v>49</v>
      </c>
      <c r="E15" s="5" t="s">
        <v>64</v>
      </c>
      <c r="F15" s="5" t="s">
        <v>48</v>
      </c>
    </row>
    <row r="16" spans="1:6" x14ac:dyDescent="0.25">
      <c r="A16" s="5" t="s">
        <v>35</v>
      </c>
      <c r="B16" s="5" t="s">
        <v>36</v>
      </c>
      <c r="C16" s="5" t="s">
        <v>37</v>
      </c>
      <c r="D16" s="5" t="s">
        <v>51</v>
      </c>
      <c r="E16" s="5" t="s">
        <v>65</v>
      </c>
      <c r="F16" s="5" t="s">
        <v>48</v>
      </c>
    </row>
    <row r="17" spans="1:6" x14ac:dyDescent="0.25">
      <c r="A17" s="5" t="s">
        <v>35</v>
      </c>
      <c r="B17" s="5" t="s">
        <v>36</v>
      </c>
      <c r="C17" s="5" t="s">
        <v>37</v>
      </c>
      <c r="D17" s="5" t="s">
        <v>53</v>
      </c>
      <c r="E17" s="5" t="s">
        <v>66</v>
      </c>
      <c r="F17" s="5" t="s">
        <v>48</v>
      </c>
    </row>
    <row r="18" spans="1:6" x14ac:dyDescent="0.25">
      <c r="A18" s="5" t="s">
        <v>39</v>
      </c>
      <c r="B18" s="5" t="s">
        <v>40</v>
      </c>
      <c r="C18" s="5" t="s">
        <v>41</v>
      </c>
      <c r="D18" s="5" t="s">
        <v>46</v>
      </c>
      <c r="E18" s="5" t="s">
        <v>67</v>
      </c>
      <c r="F18" s="5" t="s">
        <v>48</v>
      </c>
    </row>
    <row r="19" spans="1:6" x14ac:dyDescent="0.25">
      <c r="A19" s="5" t="s">
        <v>39</v>
      </c>
      <c r="B19" s="5" t="s">
        <v>40</v>
      </c>
      <c r="C19" s="5" t="s">
        <v>41</v>
      </c>
      <c r="D19" s="5" t="s">
        <v>49</v>
      </c>
      <c r="E19" s="5" t="s">
        <v>68</v>
      </c>
      <c r="F19" s="5" t="s">
        <v>48</v>
      </c>
    </row>
    <row r="20" spans="1:6" x14ac:dyDescent="0.25">
      <c r="A20" s="5" t="s">
        <v>39</v>
      </c>
      <c r="B20" s="5" t="s">
        <v>40</v>
      </c>
      <c r="C20" s="5" t="s">
        <v>41</v>
      </c>
      <c r="D20" s="5" t="s">
        <v>51</v>
      </c>
      <c r="E20" s="5" t="s">
        <v>69</v>
      </c>
      <c r="F20" s="5" t="s">
        <v>48</v>
      </c>
    </row>
    <row r="21" spans="1:6" x14ac:dyDescent="0.25">
      <c r="A21" s="5" t="s">
        <v>39</v>
      </c>
      <c r="B21" s="5" t="s">
        <v>40</v>
      </c>
      <c r="C21" s="5" t="s">
        <v>41</v>
      </c>
      <c r="D21" s="5" t="s">
        <v>53</v>
      </c>
      <c r="E21" s="5" t="s">
        <v>70</v>
      </c>
      <c r="F21" s="5" t="s">
        <v>48</v>
      </c>
    </row>
  </sheetData>
  <dataValidations count="1">
    <dataValidation type="list" allowBlank="1" sqref="F2:F21" xr:uid="{00000000-0002-0000-0200-000000000000}">
      <formula1>"Accountable owner,Responsible,Consulted,Informed"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M46"/>
  <sheetViews>
    <sheetView zoomScale="90" zoomScaleNormal="90" workbookViewId="0">
      <pane ySplit="1" topLeftCell="A2" activePane="bottomLeft" state="frozen"/>
      <selection pane="bottomLeft" activeCell="D27" sqref="D27"/>
    </sheetView>
  </sheetViews>
  <sheetFormatPr defaultColWidth="8.7109375" defaultRowHeight="15" x14ac:dyDescent="0.25"/>
  <cols>
    <col min="1" max="1" width="13" customWidth="1"/>
    <col min="2" max="2" width="17" customWidth="1"/>
    <col min="3" max="3" width="50" customWidth="1"/>
    <col min="4" max="4" width="70" customWidth="1"/>
    <col min="5" max="5" width="22" customWidth="1"/>
    <col min="6" max="8" width="13" customWidth="1"/>
    <col min="9" max="9" width="52" customWidth="1"/>
    <col min="10" max="10" width="22" customWidth="1"/>
    <col min="11" max="12" width="13" customWidth="1"/>
    <col min="13" max="13" width="48" customWidth="1"/>
  </cols>
  <sheetData>
    <row r="1" spans="1:13" ht="31.5" customHeight="1" x14ac:dyDescent="0.25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</row>
    <row r="2" spans="1:13" ht="25.5" x14ac:dyDescent="0.25">
      <c r="A2" s="5" t="s">
        <v>84</v>
      </c>
      <c r="B2" s="5" t="s">
        <v>85</v>
      </c>
      <c r="C2" s="6" t="s">
        <v>86</v>
      </c>
      <c r="D2" s="6" t="s">
        <v>87</v>
      </c>
      <c r="E2" s="5" t="s">
        <v>22</v>
      </c>
      <c r="F2" s="7">
        <v>46296</v>
      </c>
      <c r="G2" s="7">
        <v>46296</v>
      </c>
      <c r="H2" s="5" t="s">
        <v>88</v>
      </c>
      <c r="I2" s="6" t="s">
        <v>89</v>
      </c>
      <c r="J2" s="5"/>
      <c r="K2" s="5" t="s">
        <v>90</v>
      </c>
      <c r="L2" s="8">
        <v>1</v>
      </c>
      <c r="M2" s="6" t="s">
        <v>91</v>
      </c>
    </row>
    <row r="3" spans="1:13" ht="25.5" x14ac:dyDescent="0.25">
      <c r="A3" s="5" t="s">
        <v>92</v>
      </c>
      <c r="B3" s="5" t="s">
        <v>85</v>
      </c>
      <c r="C3" s="6" t="s">
        <v>93</v>
      </c>
      <c r="D3" s="6" t="s">
        <v>94</v>
      </c>
      <c r="E3" s="5" t="s">
        <v>28</v>
      </c>
      <c r="F3" s="7">
        <v>46296</v>
      </c>
      <c r="G3" s="7">
        <v>46299</v>
      </c>
      <c r="H3" s="5" t="s">
        <v>88</v>
      </c>
      <c r="I3" s="6" t="s">
        <v>95</v>
      </c>
      <c r="J3" s="5" t="s">
        <v>84</v>
      </c>
      <c r="K3" s="5" t="s">
        <v>90</v>
      </c>
      <c r="L3" s="8">
        <v>1</v>
      </c>
      <c r="M3" s="6" t="s">
        <v>96</v>
      </c>
    </row>
    <row r="4" spans="1:13" x14ac:dyDescent="0.25">
      <c r="A4" s="5" t="s">
        <v>97</v>
      </c>
      <c r="B4" s="5" t="s">
        <v>85</v>
      </c>
      <c r="C4" s="6" t="s">
        <v>98</v>
      </c>
      <c r="D4" s="6" t="s">
        <v>99</v>
      </c>
      <c r="E4" s="5" t="s">
        <v>22</v>
      </c>
      <c r="F4" s="7">
        <v>46296</v>
      </c>
      <c r="G4" s="7">
        <v>46296</v>
      </c>
      <c r="H4" s="5" t="s">
        <v>88</v>
      </c>
      <c r="I4" s="6" t="s">
        <v>100</v>
      </c>
      <c r="J4" s="5" t="s">
        <v>84</v>
      </c>
      <c r="K4" s="5" t="s">
        <v>90</v>
      </c>
      <c r="L4" s="8">
        <v>1</v>
      </c>
      <c r="M4" s="6" t="s">
        <v>101</v>
      </c>
    </row>
    <row r="5" spans="1:13" x14ac:dyDescent="0.25">
      <c r="A5" s="5" t="s">
        <v>102</v>
      </c>
      <c r="B5" s="5" t="s">
        <v>85</v>
      </c>
      <c r="C5" s="6" t="s">
        <v>103</v>
      </c>
      <c r="D5" s="6" t="s">
        <v>104</v>
      </c>
      <c r="E5" s="5" t="s">
        <v>22</v>
      </c>
      <c r="F5" s="7">
        <v>46296</v>
      </c>
      <c r="G5" s="7">
        <v>46296</v>
      </c>
      <c r="H5" s="5" t="s">
        <v>88</v>
      </c>
      <c r="I5" s="6" t="s">
        <v>105</v>
      </c>
      <c r="J5" s="5" t="s">
        <v>84</v>
      </c>
      <c r="K5" s="5" t="s">
        <v>90</v>
      </c>
      <c r="L5" s="8">
        <v>1</v>
      </c>
      <c r="M5" s="6" t="s">
        <v>106</v>
      </c>
    </row>
    <row r="6" spans="1:13" x14ac:dyDescent="0.25">
      <c r="A6" s="5" t="s">
        <v>107</v>
      </c>
      <c r="B6" s="5" t="s">
        <v>108</v>
      </c>
      <c r="C6" s="6" t="s">
        <v>109</v>
      </c>
      <c r="D6" s="6" t="s">
        <v>110</v>
      </c>
      <c r="E6" s="5" t="s">
        <v>28</v>
      </c>
      <c r="F6" s="7">
        <v>46299</v>
      </c>
      <c r="G6" s="7">
        <v>46300</v>
      </c>
      <c r="H6" s="5" t="s">
        <v>88</v>
      </c>
      <c r="I6" s="6" t="s">
        <v>111</v>
      </c>
      <c r="J6" s="5" t="s">
        <v>92</v>
      </c>
      <c r="K6" s="5" t="s">
        <v>90</v>
      </c>
      <c r="L6" s="8">
        <v>1</v>
      </c>
      <c r="M6" s="6" t="s">
        <v>112</v>
      </c>
    </row>
    <row r="7" spans="1:13" ht="25.5" x14ac:dyDescent="0.25">
      <c r="A7" s="5" t="s">
        <v>113</v>
      </c>
      <c r="B7" s="5" t="s">
        <v>108</v>
      </c>
      <c r="C7" s="6" t="s">
        <v>114</v>
      </c>
      <c r="D7" s="6" t="s">
        <v>115</v>
      </c>
      <c r="E7" s="5" t="s">
        <v>28</v>
      </c>
      <c r="F7" s="7">
        <v>46300</v>
      </c>
      <c r="G7" s="7">
        <v>46301</v>
      </c>
      <c r="H7" s="5" t="s">
        <v>88</v>
      </c>
      <c r="I7" s="6" t="s">
        <v>116</v>
      </c>
      <c r="J7" s="5" t="s">
        <v>107</v>
      </c>
      <c r="K7" s="5" t="s">
        <v>90</v>
      </c>
      <c r="L7" s="8">
        <v>1</v>
      </c>
      <c r="M7" s="6" t="s">
        <v>117</v>
      </c>
    </row>
    <row r="8" spans="1:13" x14ac:dyDescent="0.25">
      <c r="A8" s="5" t="s">
        <v>118</v>
      </c>
      <c r="B8" s="5" t="s">
        <v>108</v>
      </c>
      <c r="C8" s="6" t="s">
        <v>119</v>
      </c>
      <c r="D8" s="6" t="s">
        <v>120</v>
      </c>
      <c r="E8" s="5" t="s">
        <v>28</v>
      </c>
      <c r="F8" s="7">
        <v>46301</v>
      </c>
      <c r="G8" s="7">
        <v>46302</v>
      </c>
      <c r="H8" s="5" t="s">
        <v>88</v>
      </c>
      <c r="I8" s="6" t="s">
        <v>121</v>
      </c>
      <c r="J8" s="5" t="s">
        <v>113</v>
      </c>
      <c r="K8" s="5" t="s">
        <v>90</v>
      </c>
      <c r="L8" s="8">
        <v>1</v>
      </c>
      <c r="M8" s="6" t="s">
        <v>122</v>
      </c>
    </row>
    <row r="9" spans="1:13" x14ac:dyDescent="0.25">
      <c r="A9" s="5" t="s">
        <v>123</v>
      </c>
      <c r="B9" s="5" t="s">
        <v>108</v>
      </c>
      <c r="C9" s="6" t="s">
        <v>124</v>
      </c>
      <c r="D9" s="6" t="s">
        <v>125</v>
      </c>
      <c r="E9" s="5" t="s">
        <v>28</v>
      </c>
      <c r="F9" s="7">
        <v>46302</v>
      </c>
      <c r="G9" s="7">
        <v>46303</v>
      </c>
      <c r="H9" s="5" t="s">
        <v>88</v>
      </c>
      <c r="I9" s="6" t="s">
        <v>126</v>
      </c>
      <c r="J9" s="5" t="s">
        <v>118</v>
      </c>
      <c r="K9" s="5" t="s">
        <v>90</v>
      </c>
      <c r="L9" s="8">
        <v>1</v>
      </c>
      <c r="M9" s="6" t="s">
        <v>127</v>
      </c>
    </row>
    <row r="10" spans="1:13" ht="25.5" x14ac:dyDescent="0.25">
      <c r="A10" s="5" t="s">
        <v>128</v>
      </c>
      <c r="B10" s="5" t="s">
        <v>108</v>
      </c>
      <c r="C10" s="6" t="s">
        <v>129</v>
      </c>
      <c r="D10" s="6" t="s">
        <v>130</v>
      </c>
      <c r="E10" s="5" t="s">
        <v>22</v>
      </c>
      <c r="F10" s="7">
        <v>46302</v>
      </c>
      <c r="G10" s="7">
        <v>46303</v>
      </c>
      <c r="H10" s="5" t="s">
        <v>88</v>
      </c>
      <c r="I10" s="6" t="s">
        <v>131</v>
      </c>
      <c r="J10" s="5" t="s">
        <v>132</v>
      </c>
      <c r="K10" s="5" t="s">
        <v>90</v>
      </c>
      <c r="L10" s="8">
        <v>1</v>
      </c>
      <c r="M10" s="6" t="s">
        <v>133</v>
      </c>
    </row>
    <row r="11" spans="1:13" x14ac:dyDescent="0.25">
      <c r="A11" s="5" t="s">
        <v>134</v>
      </c>
      <c r="B11" s="5" t="s">
        <v>108</v>
      </c>
      <c r="C11" s="6" t="s">
        <v>135</v>
      </c>
      <c r="D11" s="6" t="s">
        <v>136</v>
      </c>
      <c r="E11" s="5" t="s">
        <v>28</v>
      </c>
      <c r="F11" s="7">
        <v>46302</v>
      </c>
      <c r="G11" s="7">
        <v>46303</v>
      </c>
      <c r="H11" s="5" t="s">
        <v>88</v>
      </c>
      <c r="I11" s="6" t="s">
        <v>137</v>
      </c>
      <c r="J11" s="5" t="s">
        <v>118</v>
      </c>
      <c r="K11" s="5" t="s">
        <v>90</v>
      </c>
      <c r="L11" s="8">
        <v>1</v>
      </c>
      <c r="M11" s="6" t="s">
        <v>138</v>
      </c>
    </row>
    <row r="12" spans="1:13" ht="25.5" x14ac:dyDescent="0.25">
      <c r="A12" s="5" t="s">
        <v>139</v>
      </c>
      <c r="B12" s="5" t="s">
        <v>140</v>
      </c>
      <c r="C12" s="6" t="s">
        <v>141</v>
      </c>
      <c r="D12" s="6" t="s">
        <v>142</v>
      </c>
      <c r="E12" s="5" t="s">
        <v>22</v>
      </c>
      <c r="F12" s="7">
        <v>46302</v>
      </c>
      <c r="G12" s="7">
        <v>46303</v>
      </c>
      <c r="H12" s="5" t="s">
        <v>88</v>
      </c>
      <c r="I12" s="6" t="s">
        <v>143</v>
      </c>
      <c r="J12" s="5" t="s">
        <v>118</v>
      </c>
      <c r="K12" s="5" t="s">
        <v>90</v>
      </c>
      <c r="L12" s="8">
        <v>1</v>
      </c>
      <c r="M12" s="6" t="s">
        <v>144</v>
      </c>
    </row>
    <row r="13" spans="1:13" x14ac:dyDescent="0.25">
      <c r="A13" s="5" t="s">
        <v>145</v>
      </c>
      <c r="B13" s="5" t="s">
        <v>140</v>
      </c>
      <c r="C13" s="6" t="s">
        <v>146</v>
      </c>
      <c r="D13" s="6" t="s">
        <v>147</v>
      </c>
      <c r="E13" s="5" t="s">
        <v>22</v>
      </c>
      <c r="F13" s="7">
        <v>46303</v>
      </c>
      <c r="G13" s="7">
        <v>46306</v>
      </c>
      <c r="H13" s="5" t="s">
        <v>88</v>
      </c>
      <c r="I13" s="6" t="s">
        <v>148</v>
      </c>
      <c r="J13" s="5" t="s">
        <v>139</v>
      </c>
      <c r="K13" s="5" t="s">
        <v>90</v>
      </c>
      <c r="L13" s="8">
        <v>1</v>
      </c>
      <c r="M13" s="6" t="s">
        <v>149</v>
      </c>
    </row>
    <row r="14" spans="1:13" ht="25.5" x14ac:dyDescent="0.25">
      <c r="A14" s="5" t="s">
        <v>150</v>
      </c>
      <c r="B14" s="5" t="s">
        <v>140</v>
      </c>
      <c r="C14" s="6" t="s">
        <v>151</v>
      </c>
      <c r="D14" s="6" t="s">
        <v>152</v>
      </c>
      <c r="E14" s="5" t="s">
        <v>22</v>
      </c>
      <c r="F14" s="7">
        <v>46303</v>
      </c>
      <c r="G14" s="7">
        <v>46306</v>
      </c>
      <c r="H14" s="5" t="s">
        <v>88</v>
      </c>
      <c r="I14" s="6" t="s">
        <v>153</v>
      </c>
      <c r="J14" s="5" t="s">
        <v>139</v>
      </c>
      <c r="K14" s="5" t="s">
        <v>90</v>
      </c>
      <c r="L14" s="8">
        <v>1</v>
      </c>
      <c r="M14" s="6" t="s">
        <v>154</v>
      </c>
    </row>
    <row r="15" spans="1:13" x14ac:dyDescent="0.25">
      <c r="A15" s="5" t="s">
        <v>155</v>
      </c>
      <c r="B15" s="5" t="s">
        <v>140</v>
      </c>
      <c r="C15" s="6" t="s">
        <v>156</v>
      </c>
      <c r="D15" s="6" t="s">
        <v>157</v>
      </c>
      <c r="E15" s="5" t="s">
        <v>22</v>
      </c>
      <c r="F15" s="7">
        <v>46306</v>
      </c>
      <c r="G15" s="7">
        <v>46307</v>
      </c>
      <c r="H15" s="5" t="s">
        <v>88</v>
      </c>
      <c r="I15" s="6" t="s">
        <v>158</v>
      </c>
      <c r="J15" s="5" t="s">
        <v>159</v>
      </c>
      <c r="K15" s="5" t="s">
        <v>90</v>
      </c>
      <c r="L15" s="8">
        <v>1</v>
      </c>
      <c r="M15" s="6" t="s">
        <v>160</v>
      </c>
    </row>
    <row r="16" spans="1:13" ht="25.5" x14ac:dyDescent="0.25">
      <c r="A16" s="5" t="s">
        <v>161</v>
      </c>
      <c r="B16" s="5" t="s">
        <v>140</v>
      </c>
      <c r="C16" s="6" t="s">
        <v>162</v>
      </c>
      <c r="D16" s="6" t="s">
        <v>163</v>
      </c>
      <c r="E16" s="5" t="s">
        <v>32</v>
      </c>
      <c r="F16" s="7">
        <v>46303</v>
      </c>
      <c r="G16" s="7">
        <v>46307</v>
      </c>
      <c r="H16" s="5" t="s">
        <v>88</v>
      </c>
      <c r="I16" s="6" t="s">
        <v>164</v>
      </c>
      <c r="J16" s="5" t="s">
        <v>139</v>
      </c>
      <c r="K16" s="5" t="s">
        <v>90</v>
      </c>
      <c r="L16" s="8">
        <v>1</v>
      </c>
      <c r="M16" s="6" t="s">
        <v>165</v>
      </c>
    </row>
    <row r="17" spans="1:13" ht="25.5" x14ac:dyDescent="0.25">
      <c r="A17" s="5" t="s">
        <v>166</v>
      </c>
      <c r="B17" s="5" t="s">
        <v>140</v>
      </c>
      <c r="C17" s="6" t="s">
        <v>167</v>
      </c>
      <c r="D17" s="6" t="s">
        <v>168</v>
      </c>
      <c r="E17" s="5" t="s">
        <v>40</v>
      </c>
      <c r="F17" s="7">
        <v>46307</v>
      </c>
      <c r="G17" s="7">
        <v>46308</v>
      </c>
      <c r="H17" s="5" t="s">
        <v>169</v>
      </c>
      <c r="I17" s="6" t="s">
        <v>170</v>
      </c>
      <c r="J17" s="5" t="s">
        <v>161</v>
      </c>
      <c r="K17" s="5" t="s">
        <v>90</v>
      </c>
      <c r="L17" s="8">
        <v>1</v>
      </c>
      <c r="M17" s="6" t="s">
        <v>171</v>
      </c>
    </row>
    <row r="18" spans="1:13" ht="25.5" x14ac:dyDescent="0.25">
      <c r="A18" s="5" t="s">
        <v>172</v>
      </c>
      <c r="B18" s="5" t="s">
        <v>173</v>
      </c>
      <c r="C18" s="6" t="s">
        <v>174</v>
      </c>
      <c r="D18" s="6" t="s">
        <v>175</v>
      </c>
      <c r="E18" s="5" t="s">
        <v>32</v>
      </c>
      <c r="F18" s="7">
        <v>46303</v>
      </c>
      <c r="G18" s="7">
        <v>46306</v>
      </c>
      <c r="H18" s="5" t="s">
        <v>88</v>
      </c>
      <c r="I18" s="6" t="s">
        <v>176</v>
      </c>
      <c r="J18" s="5" t="s">
        <v>177</v>
      </c>
      <c r="K18" s="5" t="s">
        <v>90</v>
      </c>
      <c r="L18" s="8">
        <v>1</v>
      </c>
      <c r="M18" s="6" t="s">
        <v>178</v>
      </c>
    </row>
    <row r="19" spans="1:13" x14ac:dyDescent="0.25">
      <c r="A19" s="5" t="s">
        <v>179</v>
      </c>
      <c r="B19" s="5" t="s">
        <v>173</v>
      </c>
      <c r="C19" s="6" t="s">
        <v>180</v>
      </c>
      <c r="D19" s="6" t="s">
        <v>181</v>
      </c>
      <c r="E19" s="5" t="s">
        <v>40</v>
      </c>
      <c r="F19" s="7">
        <v>46306</v>
      </c>
      <c r="G19" s="7">
        <v>46307</v>
      </c>
      <c r="H19" s="5" t="s">
        <v>88</v>
      </c>
      <c r="I19" s="6" t="s">
        <v>182</v>
      </c>
      <c r="J19" s="5" t="s">
        <v>172</v>
      </c>
      <c r="K19" s="5" t="s">
        <v>90</v>
      </c>
      <c r="L19" s="8">
        <v>1</v>
      </c>
      <c r="M19" s="6" t="s">
        <v>183</v>
      </c>
    </row>
    <row r="20" spans="1:13" ht="25.5" x14ac:dyDescent="0.25">
      <c r="A20" s="5" t="s">
        <v>184</v>
      </c>
      <c r="B20" s="5" t="s">
        <v>173</v>
      </c>
      <c r="C20" s="6" t="s">
        <v>185</v>
      </c>
      <c r="D20" s="6" t="s">
        <v>186</v>
      </c>
      <c r="E20" s="5" t="s">
        <v>40</v>
      </c>
      <c r="F20" s="7">
        <v>46307</v>
      </c>
      <c r="G20" s="7">
        <v>46308</v>
      </c>
      <c r="H20" s="5" t="s">
        <v>88</v>
      </c>
      <c r="I20" s="6" t="s">
        <v>187</v>
      </c>
      <c r="J20" s="5" t="s">
        <v>179</v>
      </c>
      <c r="K20" s="5" t="s">
        <v>90</v>
      </c>
      <c r="L20" s="8">
        <v>1</v>
      </c>
      <c r="M20" s="6" t="s">
        <v>188</v>
      </c>
    </row>
    <row r="21" spans="1:13" x14ac:dyDescent="0.25">
      <c r="A21" s="5" t="s">
        <v>189</v>
      </c>
      <c r="B21" s="5" t="s">
        <v>173</v>
      </c>
      <c r="C21" s="6" t="s">
        <v>190</v>
      </c>
      <c r="D21" s="6" t="s">
        <v>191</v>
      </c>
      <c r="E21" s="5" t="s">
        <v>32</v>
      </c>
      <c r="F21" s="7">
        <v>46306</v>
      </c>
      <c r="G21" s="7">
        <v>46307</v>
      </c>
      <c r="H21" s="5" t="s">
        <v>88</v>
      </c>
      <c r="I21" s="6" t="s">
        <v>192</v>
      </c>
      <c r="J21" s="5" t="s">
        <v>172</v>
      </c>
      <c r="K21" s="5" t="s">
        <v>90</v>
      </c>
      <c r="L21" s="8">
        <v>1</v>
      </c>
      <c r="M21" s="6" t="s">
        <v>193</v>
      </c>
    </row>
    <row r="22" spans="1:13" x14ac:dyDescent="0.25">
      <c r="A22" s="5" t="s">
        <v>194</v>
      </c>
      <c r="B22" s="5" t="s">
        <v>173</v>
      </c>
      <c r="C22" s="6" t="s">
        <v>195</v>
      </c>
      <c r="D22" s="6" t="s">
        <v>196</v>
      </c>
      <c r="E22" s="5" t="s">
        <v>32</v>
      </c>
      <c r="F22" s="7">
        <v>46307</v>
      </c>
      <c r="G22" s="7">
        <v>46308</v>
      </c>
      <c r="H22" s="5" t="s">
        <v>88</v>
      </c>
      <c r="I22" s="6" t="s">
        <v>197</v>
      </c>
      <c r="J22" s="5" t="s">
        <v>189</v>
      </c>
      <c r="K22" s="5" t="s">
        <v>90</v>
      </c>
      <c r="L22" s="8">
        <v>1</v>
      </c>
      <c r="M22" s="6" t="s">
        <v>198</v>
      </c>
    </row>
    <row r="23" spans="1:13" x14ac:dyDescent="0.25">
      <c r="A23" s="5" t="s">
        <v>199</v>
      </c>
      <c r="B23" s="5" t="s">
        <v>173</v>
      </c>
      <c r="C23" s="6" t="s">
        <v>200</v>
      </c>
      <c r="D23" s="6" t="s">
        <v>201</v>
      </c>
      <c r="E23" s="5" t="s">
        <v>32</v>
      </c>
      <c r="F23" s="7">
        <v>46308</v>
      </c>
      <c r="G23" s="7">
        <v>46309</v>
      </c>
      <c r="H23" s="5" t="s">
        <v>88</v>
      </c>
      <c r="I23" s="6" t="s">
        <v>202</v>
      </c>
      <c r="J23" s="5" t="s">
        <v>194</v>
      </c>
      <c r="K23" s="5" t="s">
        <v>90</v>
      </c>
      <c r="L23" s="8">
        <v>1</v>
      </c>
      <c r="M23" s="6" t="s">
        <v>203</v>
      </c>
    </row>
    <row r="24" spans="1:13" x14ac:dyDescent="0.25">
      <c r="A24" s="5" t="s">
        <v>204</v>
      </c>
      <c r="B24" s="5" t="s">
        <v>173</v>
      </c>
      <c r="C24" s="6" t="s">
        <v>205</v>
      </c>
      <c r="D24" s="6" t="s">
        <v>206</v>
      </c>
      <c r="E24" s="5" t="s">
        <v>28</v>
      </c>
      <c r="F24" s="7">
        <v>46306</v>
      </c>
      <c r="G24" s="7">
        <v>46307</v>
      </c>
      <c r="H24" s="5" t="s">
        <v>88</v>
      </c>
      <c r="I24" s="6" t="s">
        <v>207</v>
      </c>
      <c r="J24" s="5" t="s">
        <v>172</v>
      </c>
      <c r="K24" s="5" t="s">
        <v>90</v>
      </c>
      <c r="L24" s="8">
        <v>1</v>
      </c>
      <c r="M24" s="6" t="s">
        <v>208</v>
      </c>
    </row>
    <row r="25" spans="1:13" x14ac:dyDescent="0.25">
      <c r="A25" s="5" t="s">
        <v>209</v>
      </c>
      <c r="B25" s="5" t="s">
        <v>173</v>
      </c>
      <c r="C25" s="6" t="s">
        <v>210</v>
      </c>
      <c r="D25" s="6" t="s">
        <v>211</v>
      </c>
      <c r="E25" s="5" t="s">
        <v>32</v>
      </c>
      <c r="F25" s="7">
        <v>46309</v>
      </c>
      <c r="G25" s="7">
        <v>46310</v>
      </c>
      <c r="H25" s="5" t="s">
        <v>88</v>
      </c>
      <c r="I25" s="6" t="s">
        <v>212</v>
      </c>
      <c r="J25" s="5" t="s">
        <v>213</v>
      </c>
      <c r="K25" s="5" t="s">
        <v>90</v>
      </c>
      <c r="L25" s="8">
        <v>1</v>
      </c>
      <c r="M25" s="6" t="s">
        <v>214</v>
      </c>
    </row>
    <row r="26" spans="1:13" x14ac:dyDescent="0.25">
      <c r="A26" s="5" t="s">
        <v>215</v>
      </c>
      <c r="B26" s="5" t="s">
        <v>173</v>
      </c>
      <c r="C26" s="6" t="s">
        <v>216</v>
      </c>
      <c r="D26" s="6" t="s">
        <v>217</v>
      </c>
      <c r="E26" s="5" t="s">
        <v>40</v>
      </c>
      <c r="F26" s="7">
        <v>46310</v>
      </c>
      <c r="G26" s="7">
        <v>46313</v>
      </c>
      <c r="H26" s="5" t="s">
        <v>88</v>
      </c>
      <c r="I26" s="6" t="s">
        <v>218</v>
      </c>
      <c r="J26" s="5" t="s">
        <v>209</v>
      </c>
      <c r="K26" s="5" t="s">
        <v>90</v>
      </c>
      <c r="L26" s="8">
        <v>1</v>
      </c>
      <c r="M26" s="6" t="s">
        <v>219</v>
      </c>
    </row>
    <row r="27" spans="1:13" x14ac:dyDescent="0.25">
      <c r="A27" s="5" t="s">
        <v>220</v>
      </c>
      <c r="B27" s="5" t="s">
        <v>173</v>
      </c>
      <c r="C27" s="6" t="s">
        <v>221</v>
      </c>
      <c r="D27" s="6" t="s">
        <v>222</v>
      </c>
      <c r="E27" s="5" t="s">
        <v>32</v>
      </c>
      <c r="F27" s="7">
        <v>46310</v>
      </c>
      <c r="G27" s="7">
        <v>46313</v>
      </c>
      <c r="H27" s="5" t="s">
        <v>88</v>
      </c>
      <c r="I27" s="6" t="s">
        <v>223</v>
      </c>
      <c r="J27" s="5" t="s">
        <v>224</v>
      </c>
      <c r="K27" s="5" t="s">
        <v>90</v>
      </c>
      <c r="L27" s="8">
        <v>1</v>
      </c>
      <c r="M27" s="6" t="s">
        <v>225</v>
      </c>
    </row>
    <row r="28" spans="1:13" x14ac:dyDescent="0.25">
      <c r="A28" s="5" t="s">
        <v>226</v>
      </c>
      <c r="B28" s="5" t="s">
        <v>173</v>
      </c>
      <c r="C28" s="6" t="s">
        <v>227</v>
      </c>
      <c r="D28" s="6" t="s">
        <v>228</v>
      </c>
      <c r="E28" s="5" t="s">
        <v>32</v>
      </c>
      <c r="F28" s="7">
        <v>46313</v>
      </c>
      <c r="G28" s="7">
        <v>46314</v>
      </c>
      <c r="H28" s="5" t="s">
        <v>88</v>
      </c>
      <c r="I28" s="6" t="s">
        <v>229</v>
      </c>
      <c r="J28" s="5" t="s">
        <v>230</v>
      </c>
      <c r="K28" s="5" t="s">
        <v>90</v>
      </c>
      <c r="L28" s="8">
        <v>1</v>
      </c>
      <c r="M28" s="6" t="s">
        <v>231</v>
      </c>
    </row>
    <row r="29" spans="1:13" x14ac:dyDescent="0.25">
      <c r="A29" s="5" t="s">
        <v>232</v>
      </c>
      <c r="B29" s="5" t="s">
        <v>108</v>
      </c>
      <c r="C29" s="6" t="s">
        <v>233</v>
      </c>
      <c r="D29" s="6" t="s">
        <v>234</v>
      </c>
      <c r="E29" s="5" t="s">
        <v>28</v>
      </c>
      <c r="F29" s="7">
        <v>46307</v>
      </c>
      <c r="G29" s="7">
        <v>46308</v>
      </c>
      <c r="H29" s="5" t="s">
        <v>88</v>
      </c>
      <c r="I29" s="6" t="s">
        <v>235</v>
      </c>
      <c r="J29" s="5" t="s">
        <v>236</v>
      </c>
      <c r="K29" s="5" t="s">
        <v>90</v>
      </c>
      <c r="L29" s="8">
        <v>1</v>
      </c>
      <c r="M29" s="6" t="s">
        <v>237</v>
      </c>
    </row>
    <row r="30" spans="1:13" x14ac:dyDescent="0.25">
      <c r="A30" s="5" t="s">
        <v>238</v>
      </c>
      <c r="B30" s="5" t="s">
        <v>239</v>
      </c>
      <c r="C30" s="6" t="s">
        <v>240</v>
      </c>
      <c r="D30" s="6" t="s">
        <v>241</v>
      </c>
      <c r="E30" s="5" t="s">
        <v>36</v>
      </c>
      <c r="F30" s="7">
        <v>46303</v>
      </c>
      <c r="G30" s="7">
        <v>46307</v>
      </c>
      <c r="H30" s="5" t="s">
        <v>88</v>
      </c>
      <c r="I30" s="6" t="s">
        <v>242</v>
      </c>
      <c r="J30" s="5" t="s">
        <v>243</v>
      </c>
      <c r="K30" s="5" t="s">
        <v>90</v>
      </c>
      <c r="L30" s="8">
        <v>1</v>
      </c>
      <c r="M30" s="6" t="s">
        <v>244</v>
      </c>
    </row>
    <row r="31" spans="1:13" ht="25.5" x14ac:dyDescent="0.25">
      <c r="A31" s="5" t="s">
        <v>245</v>
      </c>
      <c r="B31" s="5" t="s">
        <v>239</v>
      </c>
      <c r="C31" s="6" t="s">
        <v>246</v>
      </c>
      <c r="D31" s="6" t="s">
        <v>247</v>
      </c>
      <c r="E31" s="5" t="s">
        <v>36</v>
      </c>
      <c r="F31" s="7">
        <v>46307</v>
      </c>
      <c r="G31" s="7">
        <v>46308</v>
      </c>
      <c r="H31" s="5" t="s">
        <v>88</v>
      </c>
      <c r="I31" s="6" t="s">
        <v>248</v>
      </c>
      <c r="J31" s="5" t="s">
        <v>238</v>
      </c>
      <c r="K31" s="5" t="s">
        <v>90</v>
      </c>
      <c r="L31" s="8">
        <v>1</v>
      </c>
      <c r="M31" s="6" t="s">
        <v>249</v>
      </c>
    </row>
    <row r="32" spans="1:13" x14ac:dyDescent="0.25">
      <c r="A32" s="5" t="s">
        <v>250</v>
      </c>
      <c r="B32" s="5" t="s">
        <v>239</v>
      </c>
      <c r="C32" s="6" t="s">
        <v>251</v>
      </c>
      <c r="D32" s="6" t="s">
        <v>252</v>
      </c>
      <c r="E32" s="5" t="s">
        <v>36</v>
      </c>
      <c r="F32" s="7">
        <v>46307</v>
      </c>
      <c r="G32" s="7">
        <v>46309</v>
      </c>
      <c r="H32" s="5" t="s">
        <v>169</v>
      </c>
      <c r="I32" s="6" t="s">
        <v>253</v>
      </c>
      <c r="J32" s="5" t="s">
        <v>155</v>
      </c>
      <c r="K32" s="5" t="s">
        <v>90</v>
      </c>
      <c r="L32" s="8">
        <v>1</v>
      </c>
      <c r="M32" s="6" t="s">
        <v>254</v>
      </c>
    </row>
    <row r="33" spans="1:13" x14ac:dyDescent="0.25">
      <c r="A33" s="5" t="s">
        <v>255</v>
      </c>
      <c r="B33" s="5" t="s">
        <v>239</v>
      </c>
      <c r="C33" s="6" t="s">
        <v>256</v>
      </c>
      <c r="D33" s="6" t="s">
        <v>257</v>
      </c>
      <c r="E33" s="5" t="s">
        <v>36</v>
      </c>
      <c r="F33" s="7">
        <v>46309</v>
      </c>
      <c r="G33" s="7">
        <v>46310</v>
      </c>
      <c r="H33" s="5" t="s">
        <v>169</v>
      </c>
      <c r="I33" s="6" t="s">
        <v>258</v>
      </c>
      <c r="J33" s="5" t="s">
        <v>250</v>
      </c>
      <c r="K33" s="5" t="s">
        <v>90</v>
      </c>
      <c r="L33" s="8">
        <v>1</v>
      </c>
      <c r="M33" s="6" t="s">
        <v>259</v>
      </c>
    </row>
    <row r="34" spans="1:13" x14ac:dyDescent="0.25">
      <c r="A34" s="5" t="s">
        <v>260</v>
      </c>
      <c r="B34" s="5" t="s">
        <v>239</v>
      </c>
      <c r="C34" s="6" t="s">
        <v>261</v>
      </c>
      <c r="D34" s="6" t="s">
        <v>262</v>
      </c>
      <c r="E34" s="5" t="s">
        <v>22</v>
      </c>
      <c r="F34" s="7">
        <v>46307</v>
      </c>
      <c r="G34" s="7">
        <v>46308</v>
      </c>
      <c r="H34" s="5" t="s">
        <v>88</v>
      </c>
      <c r="I34" s="6" t="s">
        <v>263</v>
      </c>
      <c r="J34" s="5" t="s">
        <v>264</v>
      </c>
      <c r="K34" s="5" t="s">
        <v>90</v>
      </c>
      <c r="L34" s="8">
        <v>1</v>
      </c>
      <c r="M34" s="6" t="s">
        <v>265</v>
      </c>
    </row>
    <row r="35" spans="1:13" x14ac:dyDescent="0.25">
      <c r="A35" s="5" t="s">
        <v>266</v>
      </c>
      <c r="B35" s="5" t="s">
        <v>239</v>
      </c>
      <c r="C35" s="6" t="s">
        <v>267</v>
      </c>
      <c r="D35" s="6" t="s">
        <v>268</v>
      </c>
      <c r="E35" s="5" t="s">
        <v>28</v>
      </c>
      <c r="F35" s="7">
        <v>46310</v>
      </c>
      <c r="G35" s="7">
        <v>46313</v>
      </c>
      <c r="H35" s="5" t="s">
        <v>169</v>
      </c>
      <c r="I35" s="6" t="s">
        <v>269</v>
      </c>
      <c r="J35" s="5" t="s">
        <v>270</v>
      </c>
      <c r="K35" s="5" t="s">
        <v>90</v>
      </c>
      <c r="L35" s="8">
        <v>1</v>
      </c>
      <c r="M35" s="6" t="s">
        <v>271</v>
      </c>
    </row>
    <row r="36" spans="1:13" ht="25.5" x14ac:dyDescent="0.25">
      <c r="A36" s="5" t="s">
        <v>272</v>
      </c>
      <c r="B36" s="5" t="s">
        <v>85</v>
      </c>
      <c r="C36" s="6" t="s">
        <v>273</v>
      </c>
      <c r="D36" s="6" t="s">
        <v>274</v>
      </c>
      <c r="E36" s="5" t="s">
        <v>28</v>
      </c>
      <c r="F36" s="7">
        <v>46300</v>
      </c>
      <c r="G36" s="7">
        <v>46301</v>
      </c>
      <c r="H36" s="5" t="s">
        <v>88</v>
      </c>
      <c r="I36" s="6" t="s">
        <v>275</v>
      </c>
      <c r="J36" s="5" t="s">
        <v>276</v>
      </c>
      <c r="K36" s="5" t="s">
        <v>90</v>
      </c>
      <c r="L36" s="8">
        <v>1</v>
      </c>
      <c r="M36" s="6" t="s">
        <v>277</v>
      </c>
    </row>
    <row r="37" spans="1:13" ht="25.5" x14ac:dyDescent="0.25">
      <c r="A37" s="5" t="s">
        <v>278</v>
      </c>
      <c r="B37" s="5" t="s">
        <v>108</v>
      </c>
      <c r="C37" s="6" t="s">
        <v>279</v>
      </c>
      <c r="D37" s="6" t="s">
        <v>280</v>
      </c>
      <c r="E37" s="5" t="s">
        <v>28</v>
      </c>
      <c r="F37" s="7">
        <v>46301</v>
      </c>
      <c r="G37" s="7">
        <v>46302</v>
      </c>
      <c r="H37" s="5" t="s">
        <v>88</v>
      </c>
      <c r="I37" s="6" t="s">
        <v>281</v>
      </c>
      <c r="J37" s="5" t="s">
        <v>282</v>
      </c>
      <c r="K37" s="5" t="s">
        <v>90</v>
      </c>
      <c r="L37" s="8">
        <v>1</v>
      </c>
      <c r="M37" s="6" t="s">
        <v>283</v>
      </c>
    </row>
    <row r="38" spans="1:13" x14ac:dyDescent="0.25">
      <c r="A38" s="5" t="s">
        <v>284</v>
      </c>
      <c r="B38" s="5" t="s">
        <v>140</v>
      </c>
      <c r="C38" s="6" t="s">
        <v>285</v>
      </c>
      <c r="D38" s="6" t="s">
        <v>286</v>
      </c>
      <c r="E38" s="5" t="s">
        <v>22</v>
      </c>
      <c r="F38" s="7">
        <v>46308</v>
      </c>
      <c r="G38" s="7">
        <v>46309</v>
      </c>
      <c r="H38" s="5" t="s">
        <v>88</v>
      </c>
      <c r="I38" s="6" t="s">
        <v>287</v>
      </c>
      <c r="J38" s="5" t="s">
        <v>288</v>
      </c>
      <c r="K38" s="5" t="s">
        <v>90</v>
      </c>
      <c r="L38" s="8">
        <v>1</v>
      </c>
      <c r="M38" s="6" t="s">
        <v>289</v>
      </c>
    </row>
    <row r="39" spans="1:13" ht="25.5" x14ac:dyDescent="0.25">
      <c r="A39" s="5" t="s">
        <v>290</v>
      </c>
      <c r="B39" s="5" t="s">
        <v>140</v>
      </c>
      <c r="C39" s="6" t="s">
        <v>291</v>
      </c>
      <c r="D39" s="6" t="s">
        <v>292</v>
      </c>
      <c r="E39" s="5" t="s">
        <v>22</v>
      </c>
      <c r="F39" s="7">
        <v>46306</v>
      </c>
      <c r="G39" s="7">
        <v>46307</v>
      </c>
      <c r="H39" s="5" t="s">
        <v>88</v>
      </c>
      <c r="I39" s="6" t="s">
        <v>293</v>
      </c>
      <c r="J39" s="5" t="s">
        <v>294</v>
      </c>
      <c r="K39" s="5" t="s">
        <v>90</v>
      </c>
      <c r="L39" s="8">
        <v>1</v>
      </c>
      <c r="M39" s="6" t="s">
        <v>295</v>
      </c>
    </row>
    <row r="40" spans="1:13" ht="25.5" x14ac:dyDescent="0.25">
      <c r="A40" s="5" t="s">
        <v>296</v>
      </c>
      <c r="B40" s="5" t="s">
        <v>173</v>
      </c>
      <c r="C40" s="6" t="s">
        <v>297</v>
      </c>
      <c r="D40" s="6" t="s">
        <v>298</v>
      </c>
      <c r="E40" s="5" t="s">
        <v>28</v>
      </c>
      <c r="F40" s="7">
        <v>46310</v>
      </c>
      <c r="G40" s="7">
        <v>46313</v>
      </c>
      <c r="H40" s="5" t="s">
        <v>169</v>
      </c>
      <c r="I40" s="6" t="s">
        <v>299</v>
      </c>
      <c r="J40" s="5" t="s">
        <v>300</v>
      </c>
      <c r="K40" s="5" t="s">
        <v>90</v>
      </c>
      <c r="L40" s="8">
        <v>1</v>
      </c>
      <c r="M40" s="6" t="s">
        <v>301</v>
      </c>
    </row>
    <row r="41" spans="1:13" x14ac:dyDescent="0.25">
      <c r="A41" s="5" t="s">
        <v>302</v>
      </c>
      <c r="B41" s="5" t="s">
        <v>239</v>
      </c>
      <c r="C41" s="6" t="s">
        <v>303</v>
      </c>
      <c r="D41" s="6" t="s">
        <v>304</v>
      </c>
      <c r="E41" s="5" t="s">
        <v>32</v>
      </c>
      <c r="F41" s="7">
        <v>46313</v>
      </c>
      <c r="G41" s="7">
        <v>46314</v>
      </c>
      <c r="H41" s="5" t="s">
        <v>88</v>
      </c>
      <c r="I41" s="6" t="s">
        <v>305</v>
      </c>
      <c r="J41" s="5" t="s">
        <v>306</v>
      </c>
      <c r="K41" s="5" t="s">
        <v>90</v>
      </c>
      <c r="L41" s="8">
        <v>1</v>
      </c>
      <c r="M41" s="6" t="s">
        <v>307</v>
      </c>
    </row>
    <row r="42" spans="1:13" ht="25.5" x14ac:dyDescent="0.25">
      <c r="A42" s="5" t="s">
        <v>308</v>
      </c>
      <c r="B42" s="5" t="s">
        <v>173</v>
      </c>
      <c r="C42" s="6" t="s">
        <v>309</v>
      </c>
      <c r="D42" s="6" t="s">
        <v>310</v>
      </c>
      <c r="E42" s="5" t="s">
        <v>40</v>
      </c>
      <c r="F42" s="7">
        <v>46313</v>
      </c>
      <c r="G42" s="7">
        <v>46314</v>
      </c>
      <c r="H42" s="5" t="s">
        <v>169</v>
      </c>
      <c r="I42" s="6" t="s">
        <v>311</v>
      </c>
      <c r="J42" s="5" t="s">
        <v>312</v>
      </c>
      <c r="K42" s="5" t="s">
        <v>90</v>
      </c>
      <c r="L42" s="8">
        <v>1</v>
      </c>
      <c r="M42" s="6" t="s">
        <v>313</v>
      </c>
    </row>
    <row r="43" spans="1:13" x14ac:dyDescent="0.25">
      <c r="A43" s="5" t="s">
        <v>314</v>
      </c>
      <c r="B43" s="5" t="s">
        <v>315</v>
      </c>
      <c r="C43" s="6" t="s">
        <v>316</v>
      </c>
      <c r="D43" s="6" t="s">
        <v>317</v>
      </c>
      <c r="E43" s="5" t="s">
        <v>22</v>
      </c>
      <c r="F43" s="7">
        <v>46308</v>
      </c>
      <c r="G43" s="7">
        <v>46309</v>
      </c>
      <c r="H43" s="5" t="s">
        <v>88</v>
      </c>
      <c r="I43" s="6" t="s">
        <v>318</v>
      </c>
      <c r="J43" s="5" t="s">
        <v>319</v>
      </c>
      <c r="K43" s="5" t="s">
        <v>90</v>
      </c>
      <c r="L43" s="8">
        <v>1</v>
      </c>
      <c r="M43" s="6" t="s">
        <v>320</v>
      </c>
    </row>
    <row r="44" spans="1:13" x14ac:dyDescent="0.25">
      <c r="A44" s="5" t="s">
        <v>321</v>
      </c>
      <c r="B44" s="5" t="s">
        <v>315</v>
      </c>
      <c r="C44" s="6" t="s">
        <v>322</v>
      </c>
      <c r="D44" s="6" t="s">
        <v>323</v>
      </c>
      <c r="E44" s="5" t="s">
        <v>36</v>
      </c>
      <c r="F44" s="7">
        <v>46314</v>
      </c>
      <c r="G44" s="7">
        <v>46315</v>
      </c>
      <c r="H44" s="5" t="s">
        <v>88</v>
      </c>
      <c r="I44" s="6" t="s">
        <v>324</v>
      </c>
      <c r="J44" s="5" t="s">
        <v>325</v>
      </c>
      <c r="K44" s="5" t="s">
        <v>90</v>
      </c>
      <c r="L44" s="8">
        <v>1</v>
      </c>
      <c r="M44" s="6" t="s">
        <v>326</v>
      </c>
    </row>
    <row r="45" spans="1:13" x14ac:dyDescent="0.25">
      <c r="A45" s="5" t="s">
        <v>327</v>
      </c>
      <c r="B45" s="5" t="s">
        <v>315</v>
      </c>
      <c r="C45" s="6" t="s">
        <v>328</v>
      </c>
      <c r="D45" s="6" t="s">
        <v>329</v>
      </c>
      <c r="E45" s="5" t="s">
        <v>22</v>
      </c>
      <c r="F45" s="7">
        <v>46315</v>
      </c>
      <c r="G45" s="7">
        <v>46315</v>
      </c>
      <c r="H45" s="5" t="s">
        <v>88</v>
      </c>
      <c r="I45" s="6" t="s">
        <v>330</v>
      </c>
      <c r="J45" s="5" t="s">
        <v>321</v>
      </c>
      <c r="K45" s="5" t="s">
        <v>90</v>
      </c>
      <c r="L45" s="8">
        <v>1</v>
      </c>
      <c r="M45" s="6" t="s">
        <v>331</v>
      </c>
    </row>
    <row r="46" spans="1:13" x14ac:dyDescent="0.25">
      <c r="A46" s="5" t="s">
        <v>332</v>
      </c>
      <c r="B46" s="5" t="s">
        <v>315</v>
      </c>
      <c r="C46" s="6" t="s">
        <v>333</v>
      </c>
      <c r="D46" s="6" t="s">
        <v>334</v>
      </c>
      <c r="E46" s="5" t="s">
        <v>32</v>
      </c>
      <c r="F46" s="7">
        <v>46315</v>
      </c>
      <c r="G46" s="7">
        <v>46315</v>
      </c>
      <c r="H46" s="5" t="s">
        <v>88</v>
      </c>
      <c r="I46" s="6" t="s">
        <v>335</v>
      </c>
      <c r="J46" s="5" t="s">
        <v>327</v>
      </c>
      <c r="K46" s="5" t="s">
        <v>90</v>
      </c>
      <c r="L46" s="8">
        <v>1</v>
      </c>
      <c r="M46" s="6" t="s">
        <v>336</v>
      </c>
    </row>
  </sheetData>
  <dataValidations count="3">
    <dataValidation type="list" allowBlank="1" sqref="K2:K46" xr:uid="{00000000-0002-0000-0300-000000000000}">
      <formula1>"Not Started,In Progress,Completed"</formula1>
      <formula2>0</formula2>
    </dataValidation>
    <dataValidation type="list" allowBlank="1" sqref="H2:H46" xr:uid="{00000000-0002-0000-0300-000001000000}">
      <formula1>"High,Medium,Low"</formula1>
      <formula2>0</formula2>
    </dataValidation>
    <dataValidation type="list" allowBlank="1" sqref="E2:E46" xr:uid="{00000000-0002-0000-0300-000002000000}">
      <formula1>"Mohamed Mahmoud Abdel Bary,Mohamed Essam El-Din Youssef,Ahmed Mahmoud Mohamed,Fathy Adel Fathy,Omnia Haitham"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9669"/>
  </sheetPr>
  <dimension ref="A1:G24"/>
  <sheetViews>
    <sheetView zoomScale="90" zoomScaleNormal="90" workbookViewId="0">
      <pane ySplit="1" topLeftCell="A2" activePane="bottomLeft" state="frozen"/>
      <selection pane="bottomLeft" activeCell="G8" sqref="G8"/>
    </sheetView>
  </sheetViews>
  <sheetFormatPr defaultColWidth="8.7109375" defaultRowHeight="15" x14ac:dyDescent="0.25"/>
  <cols>
    <col min="1" max="1" width="16" customWidth="1"/>
    <col min="2" max="2" width="40" customWidth="1"/>
    <col min="3" max="3" width="80" customWidth="1"/>
    <col min="4" max="4" width="17" customWidth="1"/>
    <col min="5" max="5" width="24" customWidth="1"/>
    <col min="6" max="6" width="23" customWidth="1"/>
    <col min="7" max="7" width="15" customWidth="1"/>
  </cols>
  <sheetData>
    <row r="1" spans="1:7" ht="31.5" customHeight="1" x14ac:dyDescent="0.25">
      <c r="A1" s="4" t="s">
        <v>337</v>
      </c>
      <c r="B1" s="4" t="s">
        <v>79</v>
      </c>
      <c r="C1" s="4" t="s">
        <v>338</v>
      </c>
      <c r="D1" s="4" t="s">
        <v>339</v>
      </c>
      <c r="E1" s="4" t="s">
        <v>340</v>
      </c>
      <c r="F1" s="4" t="s">
        <v>81</v>
      </c>
      <c r="G1" s="4" t="s">
        <v>341</v>
      </c>
    </row>
    <row r="2" spans="1:7" x14ac:dyDescent="0.25">
      <c r="A2" s="5" t="s">
        <v>342</v>
      </c>
      <c r="B2" s="5" t="s">
        <v>343</v>
      </c>
      <c r="C2" s="5" t="s">
        <v>344</v>
      </c>
      <c r="D2" s="5" t="s">
        <v>345</v>
      </c>
      <c r="E2" s="5" t="s">
        <v>22</v>
      </c>
      <c r="F2" s="5" t="s">
        <v>346</v>
      </c>
      <c r="G2" s="5" t="s">
        <v>314</v>
      </c>
    </row>
    <row r="3" spans="1:7" x14ac:dyDescent="0.25">
      <c r="A3" s="5" t="s">
        <v>347</v>
      </c>
      <c r="B3" s="5" t="s">
        <v>348</v>
      </c>
      <c r="C3" s="5" t="s">
        <v>349</v>
      </c>
      <c r="D3" s="5" t="s">
        <v>350</v>
      </c>
      <c r="E3" s="5" t="s">
        <v>22</v>
      </c>
      <c r="F3" s="5" t="s">
        <v>346</v>
      </c>
      <c r="G3" s="5" t="s">
        <v>314</v>
      </c>
    </row>
    <row r="4" spans="1:7" x14ac:dyDescent="0.25">
      <c r="A4" s="5" t="s">
        <v>351</v>
      </c>
      <c r="B4" s="5" t="s">
        <v>352</v>
      </c>
      <c r="C4" s="5" t="s">
        <v>353</v>
      </c>
      <c r="D4" s="5" t="s">
        <v>354</v>
      </c>
      <c r="E4" s="5" t="s">
        <v>28</v>
      </c>
      <c r="F4" s="5" t="s">
        <v>346</v>
      </c>
      <c r="G4" s="5" t="s">
        <v>355</v>
      </c>
    </row>
    <row r="5" spans="1:7" x14ac:dyDescent="0.25">
      <c r="A5" s="5" t="s">
        <v>356</v>
      </c>
      <c r="B5" s="5" t="s">
        <v>357</v>
      </c>
      <c r="C5" s="5" t="s">
        <v>358</v>
      </c>
      <c r="D5" s="5" t="s">
        <v>354</v>
      </c>
      <c r="E5" s="5" t="s">
        <v>28</v>
      </c>
      <c r="F5" s="5" t="s">
        <v>346</v>
      </c>
      <c r="G5" s="5" t="s">
        <v>92</v>
      </c>
    </row>
    <row r="6" spans="1:7" x14ac:dyDescent="0.25">
      <c r="A6" s="5" t="s">
        <v>359</v>
      </c>
      <c r="B6" s="5" t="s">
        <v>98</v>
      </c>
      <c r="C6" s="5" t="s">
        <v>360</v>
      </c>
      <c r="D6" s="5" t="s">
        <v>361</v>
      </c>
      <c r="E6" s="5" t="s">
        <v>22</v>
      </c>
      <c r="F6" s="5" t="s">
        <v>346</v>
      </c>
      <c r="G6" s="5" t="s">
        <v>97</v>
      </c>
    </row>
    <row r="7" spans="1:7" x14ac:dyDescent="0.25">
      <c r="A7" s="5" t="s">
        <v>362</v>
      </c>
      <c r="B7" s="5" t="s">
        <v>363</v>
      </c>
      <c r="C7" s="5" t="s">
        <v>364</v>
      </c>
      <c r="D7" s="5" t="s">
        <v>354</v>
      </c>
      <c r="E7" s="5" t="s">
        <v>22</v>
      </c>
      <c r="F7" s="5" t="s">
        <v>346</v>
      </c>
      <c r="G7" s="5" t="s">
        <v>365</v>
      </c>
    </row>
    <row r="8" spans="1:7" x14ac:dyDescent="0.25">
      <c r="A8" s="5" t="s">
        <v>366</v>
      </c>
      <c r="B8" s="5" t="s">
        <v>367</v>
      </c>
      <c r="C8" s="5" t="s">
        <v>368</v>
      </c>
      <c r="D8" s="5" t="s">
        <v>354</v>
      </c>
      <c r="E8" s="5" t="s">
        <v>28</v>
      </c>
      <c r="F8" s="5" t="s">
        <v>346</v>
      </c>
      <c r="G8" s="5" t="s">
        <v>369</v>
      </c>
    </row>
    <row r="9" spans="1:7" x14ac:dyDescent="0.25">
      <c r="A9" s="5" t="s">
        <v>370</v>
      </c>
      <c r="B9" s="5" t="s">
        <v>371</v>
      </c>
      <c r="C9" s="5" t="s">
        <v>372</v>
      </c>
      <c r="D9" s="5" t="s">
        <v>361</v>
      </c>
      <c r="E9" s="5" t="s">
        <v>28</v>
      </c>
      <c r="F9" s="5" t="s">
        <v>346</v>
      </c>
      <c r="G9" s="5" t="s">
        <v>373</v>
      </c>
    </row>
    <row r="10" spans="1:7" x14ac:dyDescent="0.25">
      <c r="A10" s="5" t="s">
        <v>374</v>
      </c>
      <c r="B10" s="5" t="s">
        <v>375</v>
      </c>
      <c r="C10" s="5" t="s">
        <v>376</v>
      </c>
      <c r="D10" s="5" t="s">
        <v>354</v>
      </c>
      <c r="E10" s="5" t="s">
        <v>22</v>
      </c>
      <c r="F10" s="5" t="s">
        <v>346</v>
      </c>
      <c r="G10" s="5" t="s">
        <v>377</v>
      </c>
    </row>
    <row r="11" spans="1:7" x14ac:dyDescent="0.25">
      <c r="A11" s="5" t="s">
        <v>378</v>
      </c>
      <c r="B11" s="5" t="s">
        <v>129</v>
      </c>
      <c r="C11" s="5" t="s">
        <v>379</v>
      </c>
      <c r="D11" s="5" t="s">
        <v>354</v>
      </c>
      <c r="E11" s="5" t="s">
        <v>22</v>
      </c>
      <c r="F11" s="5" t="s">
        <v>346</v>
      </c>
      <c r="G11" s="5" t="s">
        <v>128</v>
      </c>
    </row>
    <row r="12" spans="1:7" x14ac:dyDescent="0.25">
      <c r="A12" s="5" t="s">
        <v>380</v>
      </c>
      <c r="B12" s="5" t="s">
        <v>162</v>
      </c>
      <c r="C12" s="5" t="s">
        <v>381</v>
      </c>
      <c r="D12" s="5" t="s">
        <v>354</v>
      </c>
      <c r="E12" s="5" t="s">
        <v>32</v>
      </c>
      <c r="F12" s="5" t="s">
        <v>346</v>
      </c>
      <c r="G12" s="5" t="s">
        <v>161</v>
      </c>
    </row>
    <row r="13" spans="1:7" x14ac:dyDescent="0.25">
      <c r="A13" s="5" t="s">
        <v>382</v>
      </c>
      <c r="B13" s="5" t="s">
        <v>285</v>
      </c>
      <c r="C13" s="5" t="s">
        <v>383</v>
      </c>
      <c r="D13" s="5" t="s">
        <v>354</v>
      </c>
      <c r="E13" s="5" t="s">
        <v>22</v>
      </c>
      <c r="F13" s="5" t="s">
        <v>346</v>
      </c>
      <c r="G13" s="5" t="s">
        <v>284</v>
      </c>
    </row>
    <row r="14" spans="1:7" x14ac:dyDescent="0.25">
      <c r="A14" s="5" t="s">
        <v>384</v>
      </c>
      <c r="B14" s="5" t="s">
        <v>385</v>
      </c>
      <c r="C14" s="5" t="s">
        <v>386</v>
      </c>
      <c r="D14" s="5" t="s">
        <v>354</v>
      </c>
      <c r="E14" s="5" t="s">
        <v>36</v>
      </c>
      <c r="F14" s="5" t="s">
        <v>346</v>
      </c>
      <c r="G14" s="5" t="s">
        <v>255</v>
      </c>
    </row>
    <row r="15" spans="1:7" x14ac:dyDescent="0.25">
      <c r="A15" s="5" t="s">
        <v>387</v>
      </c>
      <c r="B15" s="5" t="s">
        <v>388</v>
      </c>
      <c r="C15" s="5" t="s">
        <v>389</v>
      </c>
      <c r="D15" s="5" t="s">
        <v>354</v>
      </c>
      <c r="E15" s="5" t="s">
        <v>36</v>
      </c>
      <c r="F15" s="5" t="s">
        <v>346</v>
      </c>
      <c r="G15" s="5" t="s">
        <v>250</v>
      </c>
    </row>
    <row r="16" spans="1:7" x14ac:dyDescent="0.25">
      <c r="A16" s="5" t="s">
        <v>390</v>
      </c>
      <c r="B16" s="5" t="s">
        <v>167</v>
      </c>
      <c r="C16" s="5" t="s">
        <v>391</v>
      </c>
      <c r="D16" s="5" t="s">
        <v>350</v>
      </c>
      <c r="E16" s="5" t="s">
        <v>40</v>
      </c>
      <c r="F16" s="5" t="s">
        <v>346</v>
      </c>
      <c r="G16" s="5" t="s">
        <v>166</v>
      </c>
    </row>
    <row r="17" spans="1:7" x14ac:dyDescent="0.25">
      <c r="A17" s="5" t="s">
        <v>392</v>
      </c>
      <c r="B17" s="5" t="s">
        <v>393</v>
      </c>
      <c r="C17" s="5" t="s">
        <v>394</v>
      </c>
      <c r="D17" s="5" t="s">
        <v>361</v>
      </c>
      <c r="E17" s="5" t="s">
        <v>36</v>
      </c>
      <c r="F17" s="5" t="s">
        <v>346</v>
      </c>
      <c r="G17" s="5" t="s">
        <v>395</v>
      </c>
    </row>
    <row r="18" spans="1:7" x14ac:dyDescent="0.25">
      <c r="A18" s="5" t="s">
        <v>396</v>
      </c>
      <c r="B18" s="5" t="s">
        <v>397</v>
      </c>
      <c r="C18" s="5" t="s">
        <v>398</v>
      </c>
      <c r="D18" s="5" t="s">
        <v>361</v>
      </c>
      <c r="E18" s="5" t="s">
        <v>40</v>
      </c>
      <c r="F18" s="5" t="s">
        <v>346</v>
      </c>
      <c r="G18" s="5" t="s">
        <v>399</v>
      </c>
    </row>
    <row r="19" spans="1:7" x14ac:dyDescent="0.25">
      <c r="A19" s="5" t="s">
        <v>400</v>
      </c>
      <c r="B19" s="5" t="s">
        <v>401</v>
      </c>
      <c r="C19" s="5" t="s">
        <v>402</v>
      </c>
      <c r="D19" s="5" t="s">
        <v>361</v>
      </c>
      <c r="E19" s="5" t="s">
        <v>32</v>
      </c>
      <c r="F19" s="5" t="s">
        <v>346</v>
      </c>
      <c r="G19" s="5" t="s">
        <v>403</v>
      </c>
    </row>
    <row r="20" spans="1:7" x14ac:dyDescent="0.25">
      <c r="A20" s="5" t="s">
        <v>404</v>
      </c>
      <c r="B20" s="5" t="s">
        <v>303</v>
      </c>
      <c r="C20" s="5" t="s">
        <v>405</v>
      </c>
      <c r="D20" s="5" t="s">
        <v>354</v>
      </c>
      <c r="E20" s="5" t="s">
        <v>32</v>
      </c>
      <c r="F20" s="5" t="s">
        <v>346</v>
      </c>
      <c r="G20" s="5" t="s">
        <v>302</v>
      </c>
    </row>
    <row r="21" spans="1:7" x14ac:dyDescent="0.25">
      <c r="A21" s="5" t="s">
        <v>406</v>
      </c>
      <c r="B21" s="5" t="s">
        <v>407</v>
      </c>
      <c r="C21" s="5" t="s">
        <v>408</v>
      </c>
      <c r="D21" s="5" t="s">
        <v>361</v>
      </c>
      <c r="E21" s="5" t="s">
        <v>32</v>
      </c>
      <c r="F21" s="5" t="s">
        <v>346</v>
      </c>
      <c r="G21" s="5" t="s">
        <v>409</v>
      </c>
    </row>
    <row r="22" spans="1:7" x14ac:dyDescent="0.25">
      <c r="A22" s="5" t="s">
        <v>410</v>
      </c>
      <c r="B22" s="5" t="s">
        <v>411</v>
      </c>
      <c r="C22" s="5" t="s">
        <v>412</v>
      </c>
      <c r="D22" s="5" t="s">
        <v>413</v>
      </c>
      <c r="E22" s="5" t="s">
        <v>32</v>
      </c>
      <c r="F22" s="5" t="s">
        <v>346</v>
      </c>
      <c r="G22" s="5" t="s">
        <v>220</v>
      </c>
    </row>
    <row r="23" spans="1:7" x14ac:dyDescent="0.25">
      <c r="A23" s="5" t="s">
        <v>414</v>
      </c>
      <c r="B23" s="5" t="s">
        <v>415</v>
      </c>
      <c r="C23" s="5" t="s">
        <v>416</v>
      </c>
      <c r="D23" s="5" t="s">
        <v>417</v>
      </c>
      <c r="E23" s="5" t="s">
        <v>32</v>
      </c>
      <c r="F23" s="5" t="s">
        <v>346</v>
      </c>
      <c r="G23" s="5" t="s">
        <v>418</v>
      </c>
    </row>
    <row r="24" spans="1:7" x14ac:dyDescent="0.25">
      <c r="A24" s="5" t="s">
        <v>419</v>
      </c>
      <c r="B24" s="5" t="s">
        <v>420</v>
      </c>
      <c r="C24" s="5" t="s">
        <v>376</v>
      </c>
      <c r="D24" s="5" t="s">
        <v>421</v>
      </c>
      <c r="E24" s="5" t="s">
        <v>36</v>
      </c>
      <c r="F24" s="5" t="s">
        <v>346</v>
      </c>
      <c r="G24" s="5" t="s">
        <v>422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</sheetPr>
  <dimension ref="A1:F7"/>
  <sheetViews>
    <sheetView zoomScale="90" zoomScaleNormal="9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56" customWidth="1"/>
    <col min="3" max="3" width="13" customWidth="1"/>
    <col min="4" max="4" width="24" customWidth="1"/>
    <col min="5" max="5" width="15" customWidth="1"/>
    <col min="6" max="6" width="13" customWidth="1"/>
  </cols>
  <sheetData>
    <row r="1" spans="1:6" ht="31.5" customHeight="1" x14ac:dyDescent="0.25">
      <c r="A1" s="4" t="s">
        <v>423</v>
      </c>
      <c r="B1" s="4" t="s">
        <v>424</v>
      </c>
      <c r="C1" s="4" t="s">
        <v>425</v>
      </c>
      <c r="D1" s="4" t="s">
        <v>75</v>
      </c>
      <c r="E1" s="4" t="s">
        <v>341</v>
      </c>
      <c r="F1" s="4" t="s">
        <v>81</v>
      </c>
    </row>
    <row r="2" spans="1:6" x14ac:dyDescent="0.25">
      <c r="A2" s="5" t="s">
        <v>426</v>
      </c>
      <c r="B2" s="5" t="s">
        <v>427</v>
      </c>
      <c r="C2" s="7">
        <v>46296</v>
      </c>
      <c r="D2" s="5" t="s">
        <v>22</v>
      </c>
      <c r="E2" s="5" t="s">
        <v>84</v>
      </c>
      <c r="F2" s="5" t="s">
        <v>428</v>
      </c>
    </row>
    <row r="3" spans="1:6" x14ac:dyDescent="0.25">
      <c r="A3" s="5" t="s">
        <v>429</v>
      </c>
      <c r="B3" s="5" t="s">
        <v>430</v>
      </c>
      <c r="C3" s="7">
        <v>46303</v>
      </c>
      <c r="D3" s="5" t="s">
        <v>28</v>
      </c>
      <c r="E3" s="5" t="s">
        <v>243</v>
      </c>
      <c r="F3" s="5" t="s">
        <v>428</v>
      </c>
    </row>
    <row r="4" spans="1:6" x14ac:dyDescent="0.25">
      <c r="A4" s="5" t="s">
        <v>431</v>
      </c>
      <c r="B4" s="5" t="s">
        <v>432</v>
      </c>
      <c r="C4" s="7">
        <v>46307</v>
      </c>
      <c r="D4" s="5" t="s">
        <v>22</v>
      </c>
      <c r="E4" s="5" t="s">
        <v>433</v>
      </c>
      <c r="F4" s="5" t="s">
        <v>428</v>
      </c>
    </row>
    <row r="5" spans="1:6" x14ac:dyDescent="0.25">
      <c r="A5" s="5" t="s">
        <v>434</v>
      </c>
      <c r="B5" s="5" t="s">
        <v>435</v>
      </c>
      <c r="C5" s="7">
        <v>46314</v>
      </c>
      <c r="D5" s="5" t="s">
        <v>32</v>
      </c>
      <c r="E5" s="5" t="s">
        <v>436</v>
      </c>
      <c r="F5" s="5" t="s">
        <v>428</v>
      </c>
    </row>
    <row r="6" spans="1:6" x14ac:dyDescent="0.25">
      <c r="A6" s="5" t="s">
        <v>437</v>
      </c>
      <c r="B6" s="5" t="s">
        <v>438</v>
      </c>
      <c r="C6" s="7">
        <v>46308</v>
      </c>
      <c r="D6" s="5" t="s">
        <v>36</v>
      </c>
      <c r="E6" s="5" t="s">
        <v>395</v>
      </c>
      <c r="F6" s="5" t="s">
        <v>428</v>
      </c>
    </row>
    <row r="7" spans="1:6" x14ac:dyDescent="0.25">
      <c r="A7" s="5" t="s">
        <v>439</v>
      </c>
      <c r="B7" s="5" t="s">
        <v>440</v>
      </c>
      <c r="C7" s="7">
        <v>46315</v>
      </c>
      <c r="D7" s="5" t="s">
        <v>22</v>
      </c>
      <c r="E7" s="5" t="s">
        <v>441</v>
      </c>
      <c r="F7" s="5" t="s">
        <v>428</v>
      </c>
    </row>
  </sheetData>
  <dataValidations count="1">
    <dataValidation type="list" allowBlank="1" sqref="F2:F7" xr:uid="{00000000-0002-0000-0500-000000000000}">
      <formula1>"Planned,In Progress,Achieved"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3AED"/>
  </sheetPr>
  <dimension ref="A1:H8"/>
  <sheetViews>
    <sheetView zoomScale="90" zoomScaleNormal="9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4" customWidth="1"/>
    <col min="2" max="2" width="30" customWidth="1"/>
    <col min="3" max="3" width="52" customWidth="1"/>
    <col min="4" max="4" width="48" customWidth="1"/>
    <col min="5" max="5" width="44" customWidth="1"/>
    <col min="6" max="6" width="36" customWidth="1"/>
    <col min="7" max="7" width="32" customWidth="1"/>
    <col min="8" max="8" width="30" customWidth="1"/>
  </cols>
  <sheetData>
    <row r="1" spans="1:8" ht="31.5" customHeight="1" x14ac:dyDescent="0.25">
      <c r="A1" s="4" t="s">
        <v>442</v>
      </c>
      <c r="B1" s="4" t="s">
        <v>443</v>
      </c>
      <c r="C1" s="4" t="s">
        <v>444</v>
      </c>
      <c r="D1" s="4" t="s">
        <v>445</v>
      </c>
      <c r="E1" s="4" t="s">
        <v>446</v>
      </c>
      <c r="F1" s="4" t="s">
        <v>447</v>
      </c>
      <c r="G1" s="4" t="s">
        <v>448</v>
      </c>
      <c r="H1" s="4" t="s">
        <v>449</v>
      </c>
    </row>
    <row r="2" spans="1:8" x14ac:dyDescent="0.25">
      <c r="A2" s="5" t="s">
        <v>450</v>
      </c>
      <c r="B2" s="5" t="s">
        <v>22</v>
      </c>
      <c r="C2" s="6" t="s">
        <v>451</v>
      </c>
      <c r="D2" s="6" t="s">
        <v>452</v>
      </c>
      <c r="E2" s="6" t="s">
        <v>453</v>
      </c>
      <c r="F2" s="6" t="s">
        <v>454</v>
      </c>
      <c r="G2" s="6" t="s">
        <v>455</v>
      </c>
      <c r="H2" s="5" t="s">
        <v>456</v>
      </c>
    </row>
    <row r="3" spans="1:8" x14ac:dyDescent="0.25">
      <c r="A3" s="5" t="s">
        <v>457</v>
      </c>
      <c r="B3" s="5" t="s">
        <v>22</v>
      </c>
      <c r="C3" s="6" t="s">
        <v>458</v>
      </c>
      <c r="D3" s="6" t="s">
        <v>459</v>
      </c>
      <c r="E3" s="6" t="s">
        <v>453</v>
      </c>
      <c r="F3" s="6" t="s">
        <v>460</v>
      </c>
      <c r="G3" s="6" t="s">
        <v>461</v>
      </c>
      <c r="H3" s="5" t="s">
        <v>462</v>
      </c>
    </row>
    <row r="4" spans="1:8" ht="25.5" x14ac:dyDescent="0.25">
      <c r="A4" s="5" t="s">
        <v>463</v>
      </c>
      <c r="B4" s="5" t="s">
        <v>28</v>
      </c>
      <c r="C4" s="6" t="s">
        <v>464</v>
      </c>
      <c r="D4" s="6" t="s">
        <v>465</v>
      </c>
      <c r="E4" s="6" t="s">
        <v>466</v>
      </c>
      <c r="F4" s="6" t="s">
        <v>467</v>
      </c>
      <c r="G4" s="6" t="s">
        <v>468</v>
      </c>
      <c r="H4" s="5" t="s">
        <v>469</v>
      </c>
    </row>
    <row r="5" spans="1:8" x14ac:dyDescent="0.25">
      <c r="A5" s="5" t="s">
        <v>470</v>
      </c>
      <c r="B5" s="5" t="s">
        <v>36</v>
      </c>
      <c r="C5" s="6" t="s">
        <v>471</v>
      </c>
      <c r="D5" s="6" t="s">
        <v>472</v>
      </c>
      <c r="E5" s="6" t="s">
        <v>473</v>
      </c>
      <c r="F5" s="6" t="s">
        <v>474</v>
      </c>
      <c r="G5" s="6" t="s">
        <v>475</v>
      </c>
      <c r="H5" s="5" t="s">
        <v>476</v>
      </c>
    </row>
    <row r="6" spans="1:8" ht="25.5" x14ac:dyDescent="0.25">
      <c r="A6" s="5" t="s">
        <v>477</v>
      </c>
      <c r="B6" s="5" t="s">
        <v>32</v>
      </c>
      <c r="C6" s="6" t="s">
        <v>478</v>
      </c>
      <c r="D6" s="6" t="s">
        <v>479</v>
      </c>
      <c r="E6" s="6" t="s">
        <v>480</v>
      </c>
      <c r="F6" s="6" t="s">
        <v>481</v>
      </c>
      <c r="G6" s="6" t="s">
        <v>482</v>
      </c>
      <c r="H6" s="5" t="s">
        <v>483</v>
      </c>
    </row>
    <row r="7" spans="1:8" ht="25.5" x14ac:dyDescent="0.25">
      <c r="A7" s="5" t="s">
        <v>484</v>
      </c>
      <c r="B7" s="5" t="s">
        <v>40</v>
      </c>
      <c r="C7" s="6" t="s">
        <v>485</v>
      </c>
      <c r="D7" s="6" t="s">
        <v>486</v>
      </c>
      <c r="E7" s="6" t="s">
        <v>487</v>
      </c>
      <c r="F7" s="6" t="s">
        <v>488</v>
      </c>
      <c r="G7" s="6" t="s">
        <v>489</v>
      </c>
      <c r="H7" s="5" t="s">
        <v>469</v>
      </c>
    </row>
    <row r="8" spans="1:8" x14ac:dyDescent="0.25">
      <c r="A8" s="5" t="s">
        <v>490</v>
      </c>
      <c r="B8" s="5" t="s">
        <v>32</v>
      </c>
      <c r="C8" s="6" t="s">
        <v>491</v>
      </c>
      <c r="D8" s="6" t="s">
        <v>492</v>
      </c>
      <c r="E8" s="6" t="s">
        <v>493</v>
      </c>
      <c r="F8" s="6" t="s">
        <v>494</v>
      </c>
      <c r="G8" s="6" t="s">
        <v>495</v>
      </c>
      <c r="H8" s="5" t="s">
        <v>462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C2626"/>
  </sheetPr>
  <dimension ref="A1:F13"/>
  <sheetViews>
    <sheetView tabSelected="1" zoomScaleNormal="100" workbookViewId="0">
      <selection activeCell="E13" sqref="E13"/>
    </sheetView>
  </sheetViews>
  <sheetFormatPr defaultColWidth="8.7109375" defaultRowHeight="15" x14ac:dyDescent="0.25"/>
  <cols>
    <col min="1" max="1" width="30" customWidth="1"/>
    <col min="2" max="2" width="10" customWidth="1"/>
    <col min="3" max="3" width="12" customWidth="1"/>
    <col min="4" max="4" width="14" customWidth="1"/>
    <col min="5" max="6" width="16" customWidth="1"/>
  </cols>
  <sheetData>
    <row r="1" spans="1:6" ht="18" x14ac:dyDescent="0.25">
      <c r="A1" s="9" t="s">
        <v>496</v>
      </c>
    </row>
    <row r="3" spans="1:6" x14ac:dyDescent="0.25">
      <c r="A3" s="10" t="s">
        <v>75</v>
      </c>
      <c r="B3" s="10" t="s">
        <v>497</v>
      </c>
      <c r="C3" s="10" t="s">
        <v>90</v>
      </c>
      <c r="D3" s="10" t="s">
        <v>498</v>
      </c>
      <c r="E3" s="10" t="s">
        <v>499</v>
      </c>
      <c r="F3" s="10" t="s">
        <v>500</v>
      </c>
    </row>
    <row r="4" spans="1:6" x14ac:dyDescent="0.25">
      <c r="A4" s="11" t="s">
        <v>22</v>
      </c>
      <c r="B4" s="11">
        <f>COUNTIF('Task List'!$E$2:$E$46,A4)</f>
        <v>13</v>
      </c>
      <c r="C4" s="11">
        <f>COUNTIFS('Task List'!$E$2:$E$46,A4,'Task List'!$K$2:$K$46,"Completed")</f>
        <v>13</v>
      </c>
      <c r="D4" s="12">
        <f>AVERAGEIFS('Task List'!$L$2:$L$46,'Task List'!$E$2:$E$46,A4)</f>
        <v>1</v>
      </c>
      <c r="E4" s="13">
        <f>_xlfn.MINIFS('Task List'!$F$2:$F$46,'Task List'!$E$2:$E$46,A4)</f>
        <v>46296</v>
      </c>
      <c r="F4" s="13">
        <f>_xlfn.MAXIFS('Task List'!$G$2:$G$46,'Task List'!$E$2:$E$46,A4)</f>
        <v>46315</v>
      </c>
    </row>
    <row r="5" spans="1:6" x14ac:dyDescent="0.25">
      <c r="A5" s="11" t="s">
        <v>28</v>
      </c>
      <c r="B5" s="11">
        <f>COUNTIF('Task List'!$E$2:$E$46,A5)</f>
        <v>12</v>
      </c>
      <c r="C5" s="11">
        <f>COUNTIFS('Task List'!$E$2:$E$46,A5,'Task List'!$K$2:$K$46,"Completed")</f>
        <v>12</v>
      </c>
      <c r="D5" s="12">
        <f>AVERAGEIFS('Task List'!$L$2:$L$46,'Task List'!$E$2:$E$46,A5)</f>
        <v>1</v>
      </c>
      <c r="E5" s="13">
        <f>_xlfn.MINIFS('Task List'!$F$2:$F$46,'Task List'!$E$2:$E$46,A5)</f>
        <v>46296</v>
      </c>
      <c r="F5" s="13">
        <f>_xlfn.MAXIFS('Task List'!$G$2:$G$46,'Task List'!$E$2:$E$46,A5)</f>
        <v>46313</v>
      </c>
    </row>
    <row r="6" spans="1:6" x14ac:dyDescent="0.25">
      <c r="A6" s="11" t="s">
        <v>32</v>
      </c>
      <c r="B6" s="11">
        <f>COUNTIF('Task List'!$E$2:$E$46,A6)</f>
        <v>10</v>
      </c>
      <c r="C6" s="11">
        <f>COUNTIFS('Task List'!$E$2:$E$46,A6,'Task List'!$K$2:$K$46,"Completed")</f>
        <v>10</v>
      </c>
      <c r="D6" s="12">
        <f>AVERAGEIFS('Task List'!$L$2:$L$46,'Task List'!$E$2:$E$46,A6)</f>
        <v>1</v>
      </c>
      <c r="E6" s="13">
        <f>_xlfn.MINIFS('Task List'!$F$2:$F$46,'Task List'!$E$2:$E$46,A6)</f>
        <v>46303</v>
      </c>
      <c r="F6" s="13">
        <f>_xlfn.MAXIFS('Task List'!$G$2:$G$46,'Task List'!$E$2:$E$46,A6)</f>
        <v>46315</v>
      </c>
    </row>
    <row r="7" spans="1:6" x14ac:dyDescent="0.25">
      <c r="A7" s="11" t="s">
        <v>36</v>
      </c>
      <c r="B7" s="11">
        <f>COUNTIF('Task List'!$E$2:$E$46,A7)</f>
        <v>5</v>
      </c>
      <c r="C7" s="11">
        <f>COUNTIFS('Task List'!$E$2:$E$46,A7,'Task List'!$K$2:$K$46,"Completed")</f>
        <v>5</v>
      </c>
      <c r="D7" s="12">
        <f>AVERAGEIFS('Task List'!$L$2:$L$46,'Task List'!$E$2:$E$46,A7)</f>
        <v>1</v>
      </c>
      <c r="E7" s="13">
        <f>_xlfn.MINIFS('Task List'!$F$2:$F$46,'Task List'!$E$2:$E$46,A7)</f>
        <v>46303</v>
      </c>
      <c r="F7" s="13">
        <f>_xlfn.MAXIFS('Task List'!$G$2:$G$46,'Task List'!$E$2:$E$46,A7)</f>
        <v>46315</v>
      </c>
    </row>
    <row r="8" spans="1:6" x14ac:dyDescent="0.25">
      <c r="A8" s="11" t="s">
        <v>40</v>
      </c>
      <c r="B8" s="11">
        <f>COUNTIF('Task List'!$E$2:$E$46,A8)</f>
        <v>5</v>
      </c>
      <c r="C8" s="11">
        <f>COUNTIFS('Task List'!$E$2:$E$46,A8,'Task List'!$K$2:$K$46,"Completed")</f>
        <v>5</v>
      </c>
      <c r="D8" s="12">
        <f>AVERAGEIFS('Task List'!$L$2:$L$46,'Task List'!$E$2:$E$46,A8)</f>
        <v>1</v>
      </c>
      <c r="E8" s="13">
        <f>_xlfn.MINIFS('Task List'!$F$2:$F$46,'Task List'!$E$2:$E$46,A8)</f>
        <v>46306</v>
      </c>
      <c r="F8" s="13">
        <f>_xlfn.MAXIFS('Task List'!$G$2:$G$46,'Task List'!$E$2:$E$46,A8)</f>
        <v>46314</v>
      </c>
    </row>
    <row r="9" spans="1:6" x14ac:dyDescent="0.25">
      <c r="A9" s="2" t="s">
        <v>501</v>
      </c>
      <c r="B9" s="11">
        <f>SUM(B4:B8)</f>
        <v>45</v>
      </c>
      <c r="C9" s="11">
        <f>SUM(C4:C8)</f>
        <v>45</v>
      </c>
      <c r="D9" s="12">
        <f>AVERAGE('Task List'!$L$2:$L$46)</f>
        <v>1</v>
      </c>
      <c r="E9" s="13">
        <f>MIN(E4:E8)</f>
        <v>46296</v>
      </c>
      <c r="F9" s="13">
        <f>MAX(F4:F8)</f>
        <v>46315</v>
      </c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2" t="s">
        <v>502</v>
      </c>
      <c r="B11" s="11">
        <f>COUNTIF('Task List'!$L$2:$L$46,"&lt;1")</f>
        <v>0</v>
      </c>
      <c r="C11" s="11"/>
      <c r="D11" s="11"/>
      <c r="E11" s="11"/>
      <c r="F11" s="11"/>
    </row>
    <row r="12" spans="1:6" x14ac:dyDescent="0.25">
      <c r="A12" s="2" t="s">
        <v>503</v>
      </c>
      <c r="B12" s="11">
        <f>COUNTBLANK('Task List'!$E$2:$E$46)</f>
        <v>0</v>
      </c>
      <c r="C12" s="11"/>
      <c r="D12" s="11"/>
      <c r="E12" s="11"/>
      <c r="F12" s="11"/>
    </row>
    <row r="13" spans="1:6" x14ac:dyDescent="0.25">
      <c r="A13" s="2" t="s">
        <v>504</v>
      </c>
      <c r="B13" s="12">
        <f>D9</f>
        <v>1</v>
      </c>
      <c r="C13" s="11"/>
      <c r="D13" s="11"/>
      <c r="E13" s="11"/>
      <c r="F13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Team Register</vt:lpstr>
      <vt:lpstr>Roles and Responsibilities</vt:lpstr>
      <vt:lpstr>Task List</vt:lpstr>
      <vt:lpstr>Deliverable Register</vt:lpstr>
      <vt:lpstr>Milestones</vt:lpstr>
      <vt:lpstr>Module Responsibility Matrix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Muhammed M Abdalbary</cp:lastModifiedBy>
  <cp:revision>0</cp:revision>
  <dcterms:created xsi:type="dcterms:W3CDTF">2026-10-29T08:32:39Z</dcterms:created>
  <dcterms:modified xsi:type="dcterms:W3CDTF">2026-10-29T08:41:37Z</dcterms:modified>
  <dc:language>en-US</dc:language>
</cp:coreProperties>
</file>